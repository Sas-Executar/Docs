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IA-ME" sheetId="1" state="visible" r:id="rId1"/>
    <sheet name="01_MASTER" sheetId="2" state="visible" r:id="rId2"/>
    <sheet name="02_AREAS" sheetId="3" state="visible" r:id="rId3"/>
    <sheet name="03_FRAMEWORKS" sheetId="4" state="visible" r:id="rId4"/>
    <sheet name="04_EVIDENCIAS" sheetId="5" state="visible" r:id="rId5"/>
    <sheet name="05_HIPOTESES" sheetId="6" state="visible" r:id="rId6"/>
    <sheet name="06_RISCOS" sheetId="7" state="visible" r:id="rId7"/>
    <sheet name="07_DECISOES" sheetId="8" state="visible" r:id="rId8"/>
    <sheet name="08_FONTES" sheetId="9" state="visible" r:id="rId9"/>
    <sheet name="09_BACKLOG" sheetId="10" state="visible" r:id="rId10"/>
  </sheets>
  <definedNames>
    <definedName name="_xlnm._FilterDatabase" localSheetId="2" hidden="1">'02_AREAS'!$A$1:$N$123</definedName>
    <definedName name="_xlnm._FilterDatabase" localSheetId="3" hidden="1">'03_FRAMEWORKS'!$A$1:$N$280</definedName>
    <definedName name="_xlnm._FilterDatabase" localSheetId="4" hidden="1">'04_EVIDENCIAS'!$A$1:$L$681</definedName>
    <definedName name="_xlnm._FilterDatabase" localSheetId="5" hidden="1">'05_HIPOTESES'!$A$1:$I$7</definedName>
    <definedName name="_xlnm._FilterDatabase" localSheetId="6" hidden="1">'06_RISCOS'!$A$1:$J$200</definedName>
    <definedName name="_xlnm._FilterDatabase" localSheetId="7" hidden="1">'07_DECISOES'!$A$1:$H$31</definedName>
    <definedName name="_xlnm._FilterDatabase" localSheetId="8" hidden="1">'08_FONTES'!$A$1:$H$87</definedName>
    <definedName name="_xlnm._FilterDatabase" localSheetId="9" hidden="1">'09_BACKLOG'!$A$1:$G$69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5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center"/>
    </xf>
    <xf numFmtId="0" fontId="10" fillId="0" borderId="0" pivotButton="0" quotePrefix="0" xfId="0"/>
    <xf numFmtId="0" fontId="5" fillId="3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WORKBOOK PMBOK 8 · ECOSSISTEMA EXECUTAR</t>
        </is>
      </c>
    </row>
    <row r="3">
      <c r="A3" s="2" t="inlineStr">
        <is>
          <t>Data de geração</t>
        </is>
      </c>
      <c r="B3" s="3" t="inlineStr">
        <is>
          <t>2026-08-31</t>
        </is>
      </c>
    </row>
    <row r="4">
      <c r="A4" s="2" t="inlineStr">
        <is>
          <t>Data de corte das fontes</t>
        </is>
      </c>
      <c r="B4" s="3" t="inlineStr">
        <is>
          <t>2026-08-31 — DOCUMENTOS.zip, 214 arquivos</t>
        </is>
      </c>
    </row>
    <row r="5">
      <c r="A5" s="2" t="inlineStr">
        <is>
          <t>Versão</t>
        </is>
      </c>
      <c r="B5" s="3" t="inlineStr">
        <is>
          <t>V1</t>
        </is>
      </c>
    </row>
    <row r="6">
      <c r="A6" s="2" t="inlineStr">
        <is>
          <t>Base documental</t>
        </is>
      </c>
      <c r="B6" s="3" t="inlineStr">
        <is>
          <t>214 arquivos, 18 classificações MECE (C01–C18), 22 tipos documentais. Integridade verificada por SHA-256: 214/214 casaram com o registro; 202 hashes únicos (12 exemplares duplicados em 9 grupos).</t>
        </is>
      </c>
    </row>
    <row r="7">
      <c r="A7" s="2" t="inlineStr">
        <is>
          <t>Unidades de análise</t>
        </is>
      </c>
      <c r="B7" s="3" t="inlineStr">
        <is>
          <t>ECO-01 App EXECUTAR · ECO-02 Blog Risco Cognitivo · ECO-03 Framework e Metodologia · ECO-04 Produtos Físicos · ECO-05 Infoprodutos · ECO-06 Livro · ECO-07 Consultoria · ECO-08 Ecossistema Creator</t>
        </is>
      </c>
    </row>
    <row r="9">
      <c r="A9" s="4" t="inlineStr">
        <is>
          <t>REGRA EPISTEMOLÓGICA</t>
        </is>
      </c>
    </row>
    <row r="10">
      <c r="A10" s="2" t="inlineStr">
        <is>
          <t>Nada foi inventado</t>
        </is>
      </c>
      <c r="B10" s="3" t="inlineStr">
        <is>
          <t>Toda afirmação aponta para um documento_id real da base e transcreve a evidência. Ausência de dado virou lacuna descrita, nunca estimativa.</t>
        </is>
      </c>
    </row>
    <row r="11">
      <c r="A11" s="2" t="inlineStr">
        <is>
          <t>Conflitos preservados</t>
        </is>
      </c>
      <c r="B11" s="3" t="inlineStr">
        <is>
          <t>Quando duas fontes divergem, as duas versões ficam registradas com suas fontes. Nenhum conflito foi arbitrado em silêncio.</t>
        </is>
      </c>
    </row>
    <row r="12">
      <c r="A12" s="2" t="inlineStr">
        <is>
          <t>status (evidência)</t>
        </is>
      </c>
      <c r="B12" s="3" t="inlineStr">
        <is>
          <t>fact = evidência explícita · inference = derivação a partir de evidência citada · hypothesis = sem evidência · conflict = fontes incompatíveis · gap = pergunta relevante sem dado</t>
        </is>
      </c>
    </row>
    <row r="13">
      <c r="A13" s="2" t="inlineStr">
        <is>
          <t>evidence_strength</t>
        </is>
      </c>
      <c r="B13" s="3" t="inlineStr">
        <is>
          <t>strong · moderate · weak · none</t>
        </is>
      </c>
    </row>
    <row r="15">
      <c r="A15" s="4" t="inlineStr">
        <is>
          <t>ABAS</t>
        </is>
      </c>
    </row>
    <row r="16">
      <c r="A16" s="2" t="inlineStr">
        <is>
          <t>01_MASTER</t>
        </is>
      </c>
      <c r="B16" s="3" t="inlineStr">
        <is>
          <t>Consolidação executiva com contagens calculadas por fórmula sobre as demais abas</t>
        </is>
      </c>
    </row>
    <row r="17">
      <c r="A17" s="2" t="inlineStr">
        <is>
          <t>02_AREAS</t>
        </is>
      </c>
      <c r="B17" s="3" t="inlineStr">
        <is>
          <t>Os 122 campos do formulário fundido, com status e rastreabilidade</t>
        </is>
      </c>
    </row>
    <row r="18">
      <c r="A18" s="2" t="inlineStr">
        <is>
          <t>03_FRAMEWORKS</t>
        </is>
      </c>
      <c r="B18" s="3" t="inlineStr">
        <is>
          <t>279 insights estratégicos: 13 frameworks × 8 unidades</t>
        </is>
      </c>
    </row>
    <row r="19">
      <c r="A19" s="2" t="inlineStr">
        <is>
          <t>04_EVIDENCIAS</t>
        </is>
      </c>
      <c r="B19" s="3" t="inlineStr">
        <is>
          <t>680 pares afirmação ↔ documento_id (OUT-54)</t>
        </is>
      </c>
    </row>
    <row r="20">
      <c r="A20" s="2" t="inlineStr">
        <is>
          <t>05_HIPOTESES</t>
        </is>
      </c>
      <c r="B20" s="3" t="inlineStr">
        <is>
          <t>Hipóteses abertas e o teste que as valida (OUT-55)</t>
        </is>
      </c>
    </row>
    <row r="21">
      <c r="A21" s="2" t="inlineStr">
        <is>
          <t>06_RISCOS</t>
        </is>
      </c>
      <c r="B21" s="3" t="inlineStr">
        <is>
          <t>Riscos de impacto alto ou em conflito (OUT-57)</t>
        </is>
      </c>
    </row>
    <row r="22">
      <c r="A22" s="2" t="inlineStr">
        <is>
          <t>07_DECISOES</t>
        </is>
      </c>
      <c r="B22" s="3" t="inlineStr">
        <is>
          <t>Decisões e conflitos não arbitrados (OUT-56)</t>
        </is>
      </c>
    </row>
    <row r="23">
      <c r="A23" s="2" t="inlineStr">
        <is>
          <t>08_FONTES</t>
        </is>
      </c>
      <c r="B23" s="3" t="inlineStr">
        <is>
          <t>Documentos citados, com sha256 e caminho original (OUT-59)</t>
        </is>
      </c>
    </row>
    <row r="24">
      <c r="A24" s="2" t="inlineStr">
        <is>
          <t>09_BACKLOG</t>
        </is>
      </c>
      <c r="B24" s="3" t="inlineStr">
        <is>
          <t>Lacunas com a pesquisa necessária para fechar cada uma (OUT-58)</t>
        </is>
      </c>
    </row>
    <row r="26">
      <c r="A26" s="4" t="inlineStr">
        <is>
          <t>COMO CONTINUAR</t>
        </is>
      </c>
    </row>
    <row r="27">
      <c r="A27" s="5" t="inlineStr">
        <is>
          <t>Próximo passo</t>
        </is>
      </c>
      <c r="B27" s="6" t="inlineStr">
        <is>
          <t>Preencher os dias 3 a 6 do formulário (áreas 11 · 12–17 · 5–7 · 3–4), que somam 77 campos ainda pendentes.</t>
        </is>
      </c>
    </row>
    <row r="28">
      <c r="A28" s="2" t="inlineStr">
        <is>
          <t>Reprodutibilidade</t>
        </is>
      </c>
      <c r="B28" s="3" t="inlineStr">
        <is>
          <t>maestro/scripts/gen_registros_auxiliares.py regenera as abas 04 a 09 a partir dos insights e do formulário. IDs derivam de hash do conteúdo e são estáveis entre execuções.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76" customWidth="1" min="3" max="3"/>
  </cols>
  <sheetData>
    <row r="1">
      <c r="A1" s="7" t="inlineStr">
        <is>
          <t>MASTER · ESTADO DO ECOSSISTEMA</t>
        </is>
      </c>
    </row>
    <row r="2">
      <c r="A2" s="8" t="inlineStr">
        <is>
          <t>Todas as contagens são fórmulas sobre as demais abas — recalculam ao editar os dados.</t>
        </is>
      </c>
    </row>
    <row r="4">
      <c r="A4" s="9" t="inlineStr">
        <is>
          <t>COBERTURA DOCUMENTAL</t>
        </is>
      </c>
      <c r="B4" s="10" t="inlineStr"/>
      <c r="C4" s="10" t="inlineStr"/>
    </row>
    <row r="5">
      <c r="A5" s="11" t="inlineStr">
        <is>
          <t>Arquivos na base documental</t>
        </is>
      </c>
      <c r="B5" s="12" t="n">
        <v>214</v>
      </c>
      <c r="C5" s="13" t="inlineStr">
        <is>
          <t>C01–C18, 18 classificações MECE, integridade SHA-256 verificada 214/214</t>
        </is>
      </c>
    </row>
    <row r="6">
      <c r="A6" s="11" t="inlineStr">
        <is>
          <t>Documentos citados como evidência</t>
        </is>
      </c>
      <c r="B6" s="12">
        <f>COUNTA('08_FONTES'!A2:A87)</f>
        <v/>
      </c>
      <c r="C6" s="13" t="inlineStr">
        <is>
          <t>Os demais ainda não foram lidos ou são duplicatas/binários</t>
        </is>
      </c>
    </row>
    <row r="7">
      <c r="A7" s="11" t="inlineStr">
        <is>
          <t>Pares afirmação ↔ documento</t>
        </is>
      </c>
      <c r="B7" s="12">
        <f>COUNTA('04_EVIDENCIAS'!A2:A681)</f>
        <v/>
      </c>
      <c r="C7" s="13" t="inlineStr">
        <is>
          <t>Registro de evidência OUT-54</t>
        </is>
      </c>
    </row>
    <row r="9">
      <c r="A9" s="9" t="inlineStr">
        <is>
          <t>ANÁLISE ESTRATÉGICA — 279 INSIGHTS, 8 UNIDADES</t>
        </is>
      </c>
      <c r="B9" s="10" t="inlineStr"/>
      <c r="C9" s="10" t="inlineStr"/>
    </row>
    <row r="10">
      <c r="A10" s="11" t="inlineStr">
        <is>
          <t xml:space="preserve">  fact</t>
        </is>
      </c>
      <c r="B10" s="12">
        <f>COUNTIF('03_FRAMEWORKS'!K2:K280,"fact")</f>
        <v/>
      </c>
      <c r="C10" s="13" t="inlineStr">
        <is>
          <t>Evidência explícita no documento</t>
        </is>
      </c>
    </row>
    <row r="11">
      <c r="A11" s="11" t="inlineStr">
        <is>
          <t xml:space="preserve">  inference</t>
        </is>
      </c>
      <c r="B11" s="12">
        <f>COUNTIF('03_FRAMEWORKS'!K2:K280,"inference")</f>
        <v/>
      </c>
      <c r="C11" s="13" t="inlineStr">
        <is>
          <t>Derivação a partir de evidência citada</t>
        </is>
      </c>
    </row>
    <row r="12">
      <c r="A12" s="11" t="inlineStr">
        <is>
          <t xml:space="preserve">  conflict</t>
        </is>
      </c>
      <c r="B12" s="12">
        <f>COUNTIF('03_FRAMEWORKS'!K2:K280,"conflict")</f>
        <v/>
      </c>
      <c r="C12" s="13" t="inlineStr">
        <is>
          <t>Fontes incompatíveis — preservadas, não arbitradas</t>
        </is>
      </c>
    </row>
    <row r="13">
      <c r="A13" s="11" t="inlineStr">
        <is>
          <t xml:space="preserve">  hypothesis</t>
        </is>
      </c>
      <c r="B13" s="12">
        <f>COUNTIF('03_FRAMEWORKS'!K2:K280,"hypothesis")</f>
        <v/>
      </c>
      <c r="C13" s="13" t="inlineStr">
        <is>
          <t>Sem evidência: precisa de teste</t>
        </is>
      </c>
    </row>
    <row r="14">
      <c r="A14" s="11" t="inlineStr">
        <is>
          <t xml:space="preserve">  gap</t>
        </is>
      </c>
      <c r="B14" s="12">
        <f>COUNTIF('03_FRAMEWORKS'!K2:K280,"gap")</f>
        <v/>
      </c>
      <c r="C14" s="13" t="inlineStr">
        <is>
          <t>Pergunta relevante sem dado na base</t>
        </is>
      </c>
    </row>
    <row r="15">
      <c r="A15" s="11" t="inlineStr">
        <is>
          <t>Total de insights</t>
        </is>
      </c>
      <c r="B15" s="12">
        <f>SUM(B10:B14)</f>
        <v/>
      </c>
      <c r="C15" s="13" t="inlineStr">
        <is>
          <t>Soma dos cinco status acima</t>
        </is>
      </c>
    </row>
    <row r="17">
      <c r="A17" s="9" t="inlineStr">
        <is>
          <t>FORÇA DA EVIDÊNCIA</t>
        </is>
      </c>
      <c r="B17" s="10" t="inlineStr"/>
      <c r="C17" s="10" t="inlineStr"/>
    </row>
    <row r="18">
      <c r="A18" s="11" t="inlineStr">
        <is>
          <t xml:space="preserve">  strong</t>
        </is>
      </c>
      <c r="B18" s="12">
        <f>COUNTIF('03_FRAMEWORKS'!I2:I280,"strong")</f>
        <v/>
      </c>
      <c r="C18" s="13" t="inlineStr">
        <is>
          <t>Fonte primária ou dado interno explícito</t>
        </is>
      </c>
    </row>
    <row r="19">
      <c r="A19" s="11" t="inlineStr">
        <is>
          <t xml:space="preserve">  moderate</t>
        </is>
      </c>
      <c r="B19" s="12">
        <f>COUNTIF('03_FRAMEWORKS'!I2:I280,"moderate")</f>
        <v/>
      </c>
      <c r="C19" s="13" t="inlineStr">
        <is>
          <t>Fonte secundária ou parcial</t>
        </is>
      </c>
    </row>
    <row r="20">
      <c r="A20" s="11" t="inlineStr">
        <is>
          <t xml:space="preserve">  weak</t>
        </is>
      </c>
      <c r="B20" s="12">
        <f>COUNTIF('03_FRAMEWORKS'!I2:I280,"weak")</f>
        <v/>
      </c>
      <c r="C20" s="13" t="inlineStr">
        <is>
          <t>Transcrição de imagem, sem metodologia ou sem data</t>
        </is>
      </c>
    </row>
    <row r="21">
      <c r="A21" s="11" t="inlineStr">
        <is>
          <t xml:space="preserve">  none</t>
        </is>
      </c>
      <c r="B21" s="12">
        <f>COUNTIF('03_FRAMEWORKS'!I2:I280,"none")</f>
        <v/>
      </c>
      <c r="C21" s="13" t="inlineStr">
        <is>
          <t>Sem suporte — vira hipótese ou lacuna</t>
        </is>
      </c>
    </row>
    <row r="23">
      <c r="A23" s="9" t="inlineStr">
        <is>
          <t>INSIGHTS POR UNIDADE DE ANÁLISE</t>
        </is>
      </c>
      <c r="B23" s="10" t="inlineStr"/>
      <c r="C23" s="10" t="inlineStr"/>
    </row>
    <row r="24">
      <c r="A24" s="11" t="inlineStr">
        <is>
          <t xml:space="preserve">  ECO-01 · App EXECUTAR</t>
        </is>
      </c>
      <c r="B24" s="12">
        <f>COUNTIF('03_FRAMEWORKS'!C2:C280,"ECO-01")</f>
        <v/>
      </c>
      <c r="C24" s="13" t="inlineStr"/>
    </row>
    <row r="25">
      <c r="A25" s="11" t="inlineStr">
        <is>
          <t xml:space="preserve">  ECO-02 · Blog Risco Cognitivo</t>
        </is>
      </c>
      <c r="B25" s="12">
        <f>COUNTIF('03_FRAMEWORKS'!C2:C280,"ECO-02")</f>
        <v/>
      </c>
      <c r="C25" s="13" t="inlineStr"/>
    </row>
    <row r="26">
      <c r="A26" s="11" t="inlineStr">
        <is>
          <t xml:space="preserve">  ECO-03 · Framework e Metodologia</t>
        </is>
      </c>
      <c r="B26" s="12">
        <f>COUNTIF('03_FRAMEWORKS'!C2:C280,"ECO-03")</f>
        <v/>
      </c>
      <c r="C26" s="13" t="inlineStr"/>
    </row>
    <row r="27">
      <c r="A27" s="11" t="inlineStr">
        <is>
          <t xml:space="preserve">  ECO-04 · Produtos Físicos</t>
        </is>
      </c>
      <c r="B27" s="12">
        <f>COUNTIF('03_FRAMEWORKS'!C2:C280,"ECO-04")</f>
        <v/>
      </c>
      <c r="C27" s="13" t="inlineStr"/>
    </row>
    <row r="28">
      <c r="A28" s="11" t="inlineStr">
        <is>
          <t xml:space="preserve">  ECO-05 · Infoprodutos</t>
        </is>
      </c>
      <c r="B28" s="12">
        <f>COUNTIF('03_FRAMEWORKS'!C2:C280,"ECO-05")</f>
        <v/>
      </c>
      <c r="C28" s="13" t="inlineStr"/>
    </row>
    <row r="29">
      <c r="A29" s="11" t="inlineStr">
        <is>
          <t xml:space="preserve">  ECO-06 · Livro</t>
        </is>
      </c>
      <c r="B29" s="12">
        <f>COUNTIF('03_FRAMEWORKS'!C2:C280,"ECO-06")</f>
        <v/>
      </c>
      <c r="C29" s="13" t="inlineStr"/>
    </row>
    <row r="30">
      <c r="A30" s="11" t="inlineStr">
        <is>
          <t xml:space="preserve">  ECO-07 · Consultoria</t>
        </is>
      </c>
      <c r="B30" s="12">
        <f>COUNTIF('03_FRAMEWORKS'!C2:C280,"ECO-07")</f>
        <v/>
      </c>
      <c r="C30" s="13" t="inlineStr"/>
    </row>
    <row r="31">
      <c r="A31" s="11" t="inlineStr">
        <is>
          <t xml:space="preserve">  ECO-08 · Ecossistema Creator</t>
        </is>
      </c>
      <c r="B31" s="12">
        <f>COUNTIF('03_FRAMEWORKS'!C2:C280,"ECO-08")</f>
        <v/>
      </c>
      <c r="C31" s="13" t="inlineStr"/>
    </row>
    <row r="33">
      <c r="A33" s="9" t="inlineStr">
        <is>
          <t>FORMULÁRIO FUNDACIONAL — 122 CAMPOS</t>
        </is>
      </c>
      <c r="B33" s="10" t="inlineStr"/>
      <c r="C33" s="10" t="inlineStr"/>
    </row>
    <row r="34">
      <c r="A34" s="11" t="inlineStr">
        <is>
          <t xml:space="preserve">  preenchido</t>
        </is>
      </c>
      <c r="B34" s="12">
        <f>COUNTIF('02_AREAS'!F2:F123,"preenchido")</f>
        <v/>
      </c>
      <c r="C34" s="13" t="inlineStr">
        <is>
          <t>Resposta sustentada por evidência</t>
        </is>
      </c>
    </row>
    <row r="35">
      <c r="A35" s="11" t="inlineStr">
        <is>
          <t xml:space="preserve">  parcial</t>
        </is>
      </c>
      <c r="B35" s="12">
        <f>COUNTIF('02_AREAS'!F2:F123,"parcial")</f>
        <v/>
      </c>
      <c r="C35" s="13" t="inlineStr">
        <is>
          <t>Resposta existe mas incompleta</t>
        </is>
      </c>
    </row>
    <row r="36">
      <c r="A36" s="11" t="inlineStr">
        <is>
          <t xml:space="preserve">  lacuna</t>
        </is>
      </c>
      <c r="B36" s="12">
        <f>COUNTIF('02_AREAS'!F2:F123,"lacuna")</f>
        <v/>
      </c>
      <c r="C36" s="13" t="inlineStr">
        <is>
          <t>Sem dado na base — lacuna descrita, não TBD</t>
        </is>
      </c>
    </row>
    <row r="37">
      <c r="A37" s="11" t="inlineStr">
        <is>
          <t xml:space="preserve">  conflito</t>
        </is>
      </c>
      <c r="B37" s="12">
        <f>COUNTIF('02_AREAS'!F2:F123,"conflito")</f>
        <v/>
      </c>
      <c r="C37" s="13" t="inlineStr">
        <is>
          <t>Fontes divergentes</t>
        </is>
      </c>
    </row>
    <row r="38">
      <c r="A38" s="11" t="inlineStr">
        <is>
          <t xml:space="preserve">  pendente</t>
        </is>
      </c>
      <c r="B38" s="12">
        <f>COUNTIF('02_AREAS'!F2:F123,"pendente")</f>
        <v/>
      </c>
      <c r="C38" s="13" t="inlineStr">
        <is>
          <t>Ainda não trabalhado (dias 3 a 6)</t>
        </is>
      </c>
    </row>
    <row r="39">
      <c r="A39" s="11" t="inlineStr">
        <is>
          <t>Total de campos</t>
        </is>
      </c>
      <c r="B39" s="12">
        <f>SUM(B34:B38)</f>
        <v/>
      </c>
      <c r="C39" s="13" t="inlineStr"/>
    </row>
    <row r="40">
      <c r="A40" s="11" t="inlineStr">
        <is>
          <t>Completeza dos campos trabalhados</t>
        </is>
      </c>
      <c r="B40" s="14">
        <f>IFERROR((B34+B35)/(B38-B37),0)</f>
        <v/>
      </c>
      <c r="C40" s="13" t="inlineStr">
        <is>
          <t>Preenchidos + parciais sobre os campos já trabalhados (exclui os pendentes) — OUT-73</t>
        </is>
      </c>
    </row>
    <row r="42">
      <c r="A42" s="9" t="inlineStr">
        <is>
          <t>BACKLOG E RISCO</t>
        </is>
      </c>
      <c r="B42" s="10" t="inlineStr"/>
      <c r="C42" s="10" t="inlineStr"/>
    </row>
    <row r="43">
      <c r="A43" s="11" t="inlineStr">
        <is>
          <t>Lacunas registradas</t>
        </is>
      </c>
      <c r="B43" s="12">
        <f>COUNTA('09_BACKLOG'!A2:A69)</f>
        <v/>
      </c>
      <c r="C43" s="13" t="inlineStr">
        <is>
          <t>Cada uma com a pesquisa necessária para fechar — OUT-58</t>
        </is>
      </c>
    </row>
    <row r="44">
      <c r="A44" s="11" t="inlineStr">
        <is>
          <t>Riscos registrados</t>
        </is>
      </c>
      <c r="B44" s="12">
        <f>COUNTA('06_RISCOS'!A2:A200)</f>
        <v/>
      </c>
      <c r="C44" s="13" t="inlineStr">
        <is>
          <t>Impacto alto ou em conflito — OUT-57</t>
        </is>
      </c>
    </row>
    <row r="45">
      <c r="A45" s="11" t="inlineStr">
        <is>
          <t>Decisões e conflitos em aberto</t>
        </is>
      </c>
      <c r="B45" s="12">
        <f>COUNTA('07_DECISOES'!A2:A31)</f>
        <v/>
      </c>
      <c r="C45" s="13" t="inlineStr">
        <is>
          <t>Conflitos aparecem como NÃO ARBITRADO — OUT-56</t>
        </is>
      </c>
    </row>
    <row r="46">
      <c r="A46" s="11" t="inlineStr">
        <is>
          <t>Hipóteses a testar</t>
        </is>
      </c>
      <c r="B46" s="12">
        <f>COUNTA('05_HIPOTESES'!A2:A7)</f>
        <v/>
      </c>
      <c r="C46" s="13" t="inlineStr">
        <is>
          <t>Com o teste de validação associado — OUT-55</t>
        </is>
      </c>
    </row>
    <row r="48">
      <c r="A48" s="9" t="inlineStr">
        <is>
          <t>ALERTAS MATERIAIS</t>
        </is>
      </c>
      <c r="B48" s="10" t="inlineStr"/>
      <c r="C48" s="10" t="inlineStr"/>
    </row>
    <row r="49" ht="34" customHeight="1">
      <c r="A49" s="15" t="inlineStr">
        <is>
          <t>TAM/SAM/SOM sem base defensável</t>
        </is>
      </c>
      <c r="C49" s="13" t="inlineStr">
        <is>
          <t>Os números do acervo (TAM R$5,07bi · SAM R$357,3mi · SOM R$3,26mi) vêm de transcrição de imagem, com base amostral declarada como não informada e bibliografia ausente. Há ainda um segundo valor de SAM (R$6,0mi) no mesmo dashboard. Registrados como afirmação da fonte, força weak.</t>
        </is>
      </c>
    </row>
    <row r="50" ht="34" customHeight="1">
      <c r="A50" s="15" t="inlineStr">
        <is>
          <t>Sem pesquisa primária com clientes</t>
        </is>
      </c>
      <c r="C50" s="13" t="inlineStr">
        <is>
          <t>Nenhuma das 8 unidades tem escuta direta de cliente. As necessidades registradas derivam de documento interno.</t>
        </is>
      </c>
    </row>
    <row r="51" ht="34" customHeight="1">
      <c r="A51" s="15" t="inlineStr">
        <is>
          <t>Timer 45 com concorrente abaixo do custo</t>
        </is>
      </c>
      <c r="C51" s="13" t="inlineStr">
        <is>
          <t>Custo de fornecedor citado R$39; concorrente a R$28,46 no AliExpress (R$97,90 Mercado Livre, R$95,70 Amazon).</t>
        </is>
      </c>
    </row>
    <row r="52" ht="34" customHeight="1">
      <c r="A52" s="15" t="inlineStr">
        <is>
          <t>Economia unitária incompleta</t>
        </is>
      </c>
      <c r="C52" s="13" t="inlineStr">
        <is>
          <t>Sem custo de produção e sem CAC para nenhuma linha. Landed cost dos físicos com campos literalmente "preencher". Nenhum fornecedor, MOQ ou lead time no acervo.</t>
        </is>
      </c>
    </row>
    <row r="53" ht="34" customHeight="1">
      <c r="A53" s="15" t="inlineStr">
        <is>
          <t>Sequência editorial × GTM em conflito</t>
        </is>
      </c>
      <c r="C53" s="13" t="inlineStr">
        <is>
          <t>A tese manda instalar a categoria antes do produto; o GTM de 07/09 lança app, curso, e-book, Estúdio e Office Kit no dia um.</t>
        </is>
      </c>
    </row>
    <row r="54" ht="34" customHeight="1">
      <c r="A54" s="15" t="inlineStr">
        <is>
          <t>Fronteira Livro × Infoprodutos</t>
        </is>
      </c>
      <c r="C54" s="13" t="inlineStr">
        <is>
          <t>Livros digitais aninhados sob Infoprodutos na árvore, e o nome "livro" designa dois objetos distintos: os e-books comerciais e o livro autoral.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4" customWidth="1" min="4" max="4"/>
    <col width="12" customWidth="1" min="5" max="5"/>
    <col width="12" customWidth="1" min="6" max="6"/>
    <col width="70" customWidth="1" min="7" max="7"/>
    <col width="18" customWidth="1" min="8" max="8"/>
    <col width="12" customWidth="1" min="9" max="9"/>
    <col width="12" customWidth="1" min="10" max="10"/>
    <col width="16" customWidth="1" min="11" max="11"/>
    <col width="60" customWidth="1" min="12" max="12"/>
    <col width="52" customWidth="1" min="13" max="13"/>
    <col width="52" customWidth="1" min="14" max="14"/>
  </cols>
  <sheetData>
    <row r="1">
      <c r="A1" s="16" t="inlineStr">
        <is>
          <t>area_id</t>
        </is>
      </c>
      <c r="B1" s="16" t="inlineStr">
        <is>
          <t>area</t>
        </is>
      </c>
      <c r="C1" s="16" t="inlineStr">
        <is>
          <t>field_id</t>
        </is>
      </c>
      <c r="D1" s="16" t="inlineStr">
        <is>
          <t>titulo</t>
        </is>
      </c>
      <c r="E1" s="16" t="inlineStr">
        <is>
          <t>origem</t>
        </is>
      </c>
      <c r="F1" s="16" t="inlineStr">
        <is>
          <t>status</t>
        </is>
      </c>
      <c r="G1" s="16" t="inlineStr">
        <is>
          <t>valor</t>
        </is>
      </c>
      <c r="H1" s="16" t="inlineStr">
        <is>
          <t>tipo_informacao</t>
        </is>
      </c>
      <c r="I1" s="16" t="inlineStr">
        <is>
          <t>confianca</t>
        </is>
      </c>
      <c r="J1" s="16" t="inlineStr">
        <is>
          <t>eco_unit</t>
        </is>
      </c>
      <c r="K1" s="16" t="inlineStr">
        <is>
          <t>documento_ids</t>
        </is>
      </c>
      <c r="L1" s="16" t="inlineStr">
        <is>
          <t>evidencia</t>
        </is>
      </c>
      <c r="M1" s="16" t="inlineStr">
        <is>
          <t>lacuna</t>
        </is>
      </c>
      <c r="N1" s="16" t="inlineStr">
        <is>
          <t>proxima_acao</t>
        </is>
      </c>
    </row>
    <row r="2">
      <c r="A2" s="17" t="n">
        <v>1</v>
      </c>
      <c r="B2" s="17" t="inlineStr">
        <is>
          <t>NEGÓCIO &amp; GTM</t>
        </is>
      </c>
      <c r="C2" s="17" t="inlineStr">
        <is>
          <t>1.1</t>
        </is>
      </c>
      <c r="D2" s="17" t="inlineStr">
        <is>
          <t>Problema central</t>
        </is>
      </c>
      <c r="E2" s="17" t="inlineStr">
        <is>
          <t>formulario_original</t>
        </is>
      </c>
      <c r="F2" s="17" t="inlineStr">
        <is>
          <t>preenchido</t>
        </is>
      </c>
      <c r="G2" s="18" t="inlineStr">
        <is>
          <t>O problema aparece em três camadas distintas, por unidade. (a) ECO-01 App EXECUTAR — problema operacional: “Paralisia por excesso, dificuldade de iniciação das tarefas, não linearidade de execução, troca de contexto cognitivo, retrabalho por não respeitar cadeia única de valor e dependências, memória de trabalho limitada, ausência de processos padronizados e múltiplas fontes de execução e plataformas”. A decisão PROD-03 refina: a dor central é “dificuldade de transformar intenção em comportamento organizado ao longo do tempo”, evitando o posicionamento genérico de “produtividade”; PROD-06 define o problema observável prioritário como a combinação planejamento + memória + tempo + procrastinação. (b) ECO-03 Framework/CERM — problema conceitual: “A distância entre intenção e execução diante de vulnerabilidades cognitivas e demandas reais”; o documento adverte explicitamente para NÃO usar “não execução” como problema principal, por ser estreito demais. (c) ECO-02 Blog Risco Cognitivo — problema estratégico do lançamento editorial: “Apresentar o EXECUTAR cedo demais pode reduzir a credibilidade da investigação e impedir distinguir interesse genuíno pelo problema de interesse no produto”.</t>
        </is>
      </c>
      <c r="H2" s="17" t="inlineStr">
        <is>
          <t>fato_interno</t>
        </is>
      </c>
      <c r="I2" s="17" t="inlineStr">
        <is>
          <t>alta</t>
        </is>
      </c>
      <c r="J2" s="17" t="inlineStr">
        <is>
          <t>TRANSVERSAL (detalhado por ECO-01, ECO-03 e ECO-02)</t>
        </is>
      </c>
      <c r="K2" s="18" t="inlineStr">
        <is>
          <t>DOC-C05-001;DOC-C07-009;DOC-C01-005;DOC-C02-039;DOC-C07-002;DOC-C07-010</t>
        </is>
      </c>
      <c r="L2" s="18" t="inlineStr">
        <is>
          <t>DOC-C05-001 (seção “Corpo”, linha Problema): “Paralisia por excesso, dificuldade de iniciação das tarefas, não linearidade de execução, troca de contexto cognitivo, retrabalho por não respeitar cadeia única de valor e dependências, memória de trabalho limitada, ausência de processos padronizados e múltiplas fontes de execução e plataformas.” Perspectiva do usuário no mesmo documento: “Perco dinheiro e oportunidades por atrasos e desorganização. […] O momento de maior ansiedade e aflição são os primeiros 30 minutos iniciais, pois não sei onde estava ontem, o que devo fazer agora e como sei que terminei.” | DOC-C07-009 (decisão PROD-03): “Definir a dor central como dificuldade de transformar intenção em comportamento organizado ao longo do tempo, evitando o posicionamento genérico de ‘produtividade’.” | DOC-C01-005: “Eu evitaria usar não execução como problema principal. É estreito demais.” e “A distância entre intenção e execução diante de vulnerabilidades cognitivas e demandas reais.” | DOC-C02-039 (BMC, célula Problema): “Apresentar o EXECUTAR cedo demais pode reduzir a credibilidade da investigação e impedir distinguir interesse genuíno pelo problema de interesse no produto.”</t>
        </is>
      </c>
      <c r="M2" s="17" t="n"/>
      <c r="N2" s="18" t="inlineStr">
        <is>
          <t>Registrar no formulário um enunciado de problema por unidade, em vez de fundir as três camadas num único texto.</t>
        </is>
      </c>
    </row>
    <row r="3">
      <c r="A3" s="17" t="n">
        <v>1</v>
      </c>
      <c r="B3" s="17" t="inlineStr">
        <is>
          <t>NEGÓCIO &amp; GTM</t>
        </is>
      </c>
      <c r="C3" s="17" t="inlineStr">
        <is>
          <t>1.2</t>
        </is>
      </c>
      <c r="D3" s="17" t="inlineStr">
        <is>
          <t>Público-alvo / ICP</t>
        </is>
      </c>
      <c r="E3" s="17" t="inlineStr">
        <is>
          <t>formulario_original</t>
        </is>
      </c>
      <c r="F3" s="17" t="inlineStr">
        <is>
          <t>conflito</t>
        </is>
      </c>
      <c r="G3" s="18" t="inlineStr">
        <is>
          <t>CONFLITO ENTRE DOCUMENTOS. Versão A (DOC-C05-001, workbook Sas-06, seção Público): “Homens, adultos, neurodivergentes, autônomos, na faixa dos 25–35 anos, recém-diagnosticados, que gerenciam múltiplos processos e projetos ao mesmo tempo. Têm consciência básica de terminologia e funções executivas, já utilizaram e abandonaram outros aplicativos por não manterem o uso e rejeitam alta complexidade de configuração.” Versão B (DOC-C07-009, decisão ICP-01 / achado ICP-HYP-01, 15/08/2026): “Profissional independente/solo brasileiro, aproximadamente 25–44 anos, multiprojeto, que perde contexto, tem dificuldade recorrente para escolher próxima ação, já tentou ferramentas de produtividade e controla/influencia a própria compra”, com ressalva explícita de que diagnóstico de TDAH NÃO é critério de entrada. As duas versões divergem em faixa etária (25–35 × 25–44), gênero (homens × não especificado) e no papel da neurodivergência/diagnóstico como critério de ICP. Unidades com público próprio já declarado: ECO-07 Estúdio — “Profissionais solo, autônomos e pequenos negócios com trabalho, informação, clientes e projetos dispersos”; ECO-02 Blog — “Leitores interessados em funções executivas, neurodivergência, trabalho, projetos e risco; especialistas entram como crítica externa, não como endosso.”</t>
        </is>
      </c>
      <c r="H3" s="17" t="inlineStr">
        <is>
          <t>decisao</t>
        </is>
      </c>
      <c r="I3" s="17" t="inlineStr">
        <is>
          <t>alta</t>
        </is>
      </c>
      <c r="J3" s="18" t="inlineStr">
        <is>
          <t>TRANSVERSAL — conflito em ECO-01; ECO-07 e ECO-02 têm públicos próprios</t>
        </is>
      </c>
      <c r="K3" s="17" t="inlineStr">
        <is>
          <t>DOC-C05-001;DOC-C07-009;DOC-C02-039</t>
        </is>
      </c>
      <c r="L3" s="18" t="inlineStr">
        <is>
          <t>DOC-C05-001: “Homens, adultos, neurodivergentes, autônomos, na faixa dos 25–35 anos, recém-diagnosticados…” | DOC-C07-009 (ICP-01, status DECIDED_FOR_TEST, confiança MÉDIA-ALTA): “Iniciar testes por profissionais independentes multiprojeto, sem exigir diagnóstico de TDAH”; e “O que não é critério de entrada: Diagnóstico de TDAH. Diagnóstico/autodeclaração deve ser variável opcional posterior, especialmente porque dados de saúde são sensíveis e não são necessários para o core funcional.” | DOC-C05-001 (SSOT Executar Studio, item 02 Público): “Profissionais solo, autônomos e pequenos negócios com trabalho, informação, clientes e projetos dispersos.” | DOC-C02-039 (BMC, Público/validação): “Leitores interessados em funções executivas, neurodivergência, trabalho, projetos e risco.”</t>
        </is>
      </c>
      <c r="M3" s="18" t="inlineStr">
        <is>
          <t>Não há registro de qual definição prevalece nem data de supersessão. DOC-C07-009 é de 15/08/2026 e classifica o ICP como hipótese de classe E a validar; DOC-C05-001 não traz data própria de decisão. Faltaria um ADR comercial ou nota de decisão datada.</t>
        </is>
      </c>
      <c r="N3" s="18" t="inlineStr">
        <is>
          <t>Decidir explicitamente qual ICP vale para o lançamento de 07/09 e arquivar a versão superada com data e justificativa.</t>
        </is>
      </c>
    </row>
    <row r="4">
      <c r="A4" s="17" t="n">
        <v>1</v>
      </c>
      <c r="B4" s="17" t="inlineStr">
        <is>
          <t>NEGÓCIO &amp; GTM</t>
        </is>
      </c>
      <c r="C4" s="17" t="inlineStr">
        <is>
          <t>1.3</t>
        </is>
      </c>
      <c r="D4" s="17" t="inlineStr">
        <is>
          <t>Proposta de valor</t>
        </is>
      </c>
      <c r="E4" s="17" t="inlineStr">
        <is>
          <t>formulario_original</t>
        </is>
      </c>
      <c r="F4" s="17" t="inlineStr">
        <is>
          <t>preenchido</t>
        </is>
      </c>
      <c r="G4" s="18" t="inlineStr">
        <is>
          <t>Proposta de valor por unidade. ECO-01 App: “Criar uma situação em que a execução do que foi planejado aconteça com o mínimo possível de carga administrativa e cognitiva sobre o usuário. O sistema assume parte da estrutura, organização e priorização”; promessa: “Zero configuração, mínimo de personalização, uso mínimo do app — cerca de 1–2 vezes por semana — e externalização cognitiva”; mensagem de sustentação: “Você executa. O sistema sustenta a execução.”; headline canônica: “O app de produtividade feito para você não usar.” Posicionamento resultante (DOC-C07-009): “Sistema de execução para profissionais multiprojeto que transforma contexto em próxima ação e preserva o estado do trabalho — neurocompatível por design, mas não apresentado como tratamento de TDAH.” ECO-07 Estúdio: “Traga o problema. Em 7 dias, saia com um sistema funcionando”; “Menos tempo organizando a operação. Mais clareza sobre o que fazer, onde encontrar e como repetir.” ECO-02/ECO-03: “Transformar Risco Cognitivo em uma categoria editorial e investigável antes de conectá-la ao produto.” ECO-05 Infoprodutos: “Livros digitais funcionam como produto de entrada e aplicação. Curso funciona como aplicação guiada.” ECO-04 Físicos: “Neurobook = planejar e registrar → Timer = executar → Organização = reduzir decisões cotidianas → Office Kit = sistema integrado.”</t>
        </is>
      </c>
      <c r="H4" s="17" t="inlineStr">
        <is>
          <t>fato_interno</t>
        </is>
      </c>
      <c r="I4" s="17" t="inlineStr">
        <is>
          <t>alta</t>
        </is>
      </c>
      <c r="J4" s="18" t="inlineStr">
        <is>
          <t>TRANSVERSAL — respostas distintas em ECO-01, ECO-07, ECO-02/03, ECO-05 e ECO-04</t>
        </is>
      </c>
      <c r="K4" s="18" t="inlineStr">
        <is>
          <t>DOC-C05-001;DOC-C07-009;DOC-C09-004;DOC-C09-006;DOC-C09-016;DOC-C09-008;DOC-C02-039</t>
        </is>
      </c>
      <c r="L4" s="18" t="inlineStr">
        <is>
          <t>DOC-C05-001 (Benefício e Promessa principal; Mensagem final): “O usuário executa. O sistema sustenta a execução.”; Headline 01: “O app de produtividade feito para você não usar.”; Descrição 01: “Executar é um sistema de gestão de projetos orientado à execução que reduz configuração, organização manual e decisões repetitivas para mostrar o que pode ser feito agora.” | DOC-C07-009 (campo positioning): “Sistema de execução para profissionais multiprojeto que transforma contexto em próxima ação e preserva o estado do trabalho.” | DOC-C09-004: “O aplicativo de produtividade feito para você usar menos. O sistema sustenta a estrutura; o usuário executa.” | DOC-C09-006: “Traga o problema. Em 7 dias, saia com um sistema funcionando.” | DOC-C02-039 (BMC, Proposta de valor): “Transformar Risco Cognitivo em uma categoria editorial e investigável antes de conectá-la ao produto.”</t>
        </is>
      </c>
      <c r="M4" s="17" t="n"/>
      <c r="N4" s="17" t="n"/>
    </row>
    <row r="5">
      <c r="A5" s="17" t="n">
        <v>1</v>
      </c>
      <c r="B5" s="17" t="inlineStr">
        <is>
          <t>NEGÓCIO &amp; GTM</t>
        </is>
      </c>
      <c r="C5" s="17" t="inlineStr">
        <is>
          <t>1.4</t>
        </is>
      </c>
      <c r="D5" s="17" t="inlineStr">
        <is>
          <t>Canais de aquisição</t>
        </is>
      </c>
      <c r="E5" s="17" t="inlineStr">
        <is>
          <t>formulario_original</t>
        </is>
      </c>
      <c r="F5" s="17" t="inlineStr">
        <is>
          <t>preenchido</t>
        </is>
      </c>
      <c r="G5" s="18" t="inlineStr">
        <is>
          <t>Arquitetura de canais em dois níveis (DOC-C05-001). OWNED: 01 executar.com/Blog (fonte canônica do conteúdo); 02 Biblioteca Executar (indexação permanente, guias, referências, e-books); 03 e-mail/newsletter; 04 comunidade futura. DISTRIBUIÇÃO (plataformas alugadas/terceiras): YouTube (explicação + demonstração + descoberta), Instagram (carrossel, visual, Reels), TikTok (descoberta, vídeos curtos), LinkedIn (gestão, operações, risco, conteúdo técnico). Regra de produção “uma fonte, vários outputs”: questão editorial → pesquisa → artigo canônico → diagrama/infográfico → vídeo principal → 2–4 shorts → carrossel → post LinkedIn → newsletter → entrada na Biblioteca → trecho no e-book/curso → CTA de aprofundamento. Canais comerciais: Hotmart (infoprodutos, com cadastro e checkout), afiliados (Barkley ×2 e Ana Beatriz Barbosa Silva), loja própria, formulário visual do Estúdio. Aquisição do ECO-07: “Conteúdo → Showroom → Formulário visual → Encontro → Projeto”. Operacionalmente, os canais estão registrados como 10 chamadas CH-001…CH-010 com destino e estado (DOC-C08-004) e 10 rotas RT-001…RT-010 (DOC-C08-006). Para ECO-02, o canal inaugural é o pacote de 18 ativos em 14 dias: 1 artigo, 1 newsletter, 1 vídeo principal, 3 vídeos curtos, 2 carrosséis, 6 posts curtos, 1 infográfico, 1 checklist, 1 lead magnet e 1 landing page.</t>
        </is>
      </c>
      <c r="H5" s="17" t="inlineStr">
        <is>
          <t>decisao</t>
        </is>
      </c>
      <c r="I5" s="17" t="inlineStr">
        <is>
          <t>alta</t>
        </is>
      </c>
      <c r="J5" s="17" t="inlineStr">
        <is>
          <t>TRANSVERSAL</t>
        </is>
      </c>
      <c r="K5" s="18" t="inlineStr">
        <is>
          <t>DOC-C05-001;DOC-C08-004;DOC-C08-006;DOC-C06-001;DOC-C02-043;DOC-C09-015;DOC-C09-018;DOC-C12-004</t>
        </is>
      </c>
      <c r="L5" s="18" t="inlineStr">
        <is>
          <t>DOC-C05-001 (Arquitetura das plataformas): “OWNED 01 executar.com / Blog — Fonte canônica do conteúdo; OWNED 02 Biblioteca Executar; OWNED 03 E-mail / newsletter; DISTRIBUIÇÃO 01 YouTube; 02 Instagram; 03 TikTok; 04 LinkedIn”; e “Instagram, YouTube, TikTok e LinkedIn não são plataformas proprietárias; são plataformas alugadas/terceiras.” | DOC-C05-001 (SSOT Studio, item 13 Aquisição): “Conteúdo → Showroom → Formulário visual → Encontro → Projeto.” | DOC-C08-004: “CH-001 Experimentar Executar → página do aplicativo”, “CH-003 Explorar a biblioteca”, “CH-007 Ver o livro → ligação de afiliado”, “CH-010 Entrar na lista → formulário”. | DOC-C02-043: “Pacote: 1 artigo, 1 newsletter, 1 vídeo principal, 3 vídeos curtos, 2 carrosséis, 6 posts curtos, 1 infográfico, 1 checklist, 1 lead magnet e 1 landing page — 18 ativos principais.” | DOC-C09-018: “Núcleo inicial — Russell A. Barkley · Vencendo o TDAH Adulto; Russell A. Barkley · Executive Functions; Ana Beatriz Barbosa Silva · Mentes Inquietas.”</t>
        </is>
      </c>
      <c r="M5" s="18" t="inlineStr">
        <is>
          <t>Nenhum documento define mídia paga, verba por canal ou meta de tráfego. A aquisição paga só aparece implicitamente, como pressuposto do guardrail de CAC em DOC-C07-009.</t>
        </is>
      </c>
      <c r="N5" s="18" t="inlineStr">
        <is>
          <t>Decidir se haverá mídia paga no lançamento de 07/09 e, em caso afirmativo, registrar acquisition_source e campaign_id por canal — eventos já especificados na telemetria de DOC-C07-009.</t>
        </is>
      </c>
    </row>
    <row r="6">
      <c r="A6" s="17" t="n">
        <v>1</v>
      </c>
      <c r="B6" s="17" t="inlineStr">
        <is>
          <t>NEGÓCIO &amp; GTM</t>
        </is>
      </c>
      <c r="C6" s="17" t="inlineStr">
        <is>
          <t>1.5</t>
        </is>
      </c>
      <c r="D6" s="17" t="inlineStr">
        <is>
          <t>Métrica North Star</t>
        </is>
      </c>
      <c r="E6" s="17" t="inlineStr">
        <is>
          <t>formulario_original</t>
        </is>
      </c>
      <c r="F6" s="17" t="inlineStr">
        <is>
          <t>parcial</t>
        </is>
      </c>
      <c r="G6" s="18" t="inlineStr">
        <is>
          <t>Nenhum documento nomeia uma “métrica North Star”. O candidato canônico mais próximo é o VALUE_EVENT-01 da telemetria do EXECUTAR: “Projeto real → contexto interpretado → próxima ação válida → ação executada → conclusão/evidência registrada” — o evento que define valor entregue e que governa ativação, PMF e coortes W1/W2/W4/W8. Os endpoints de eficácia funcional associados são time_to_next_action, resume_latency, completion_rate, context_reconstruction, execution_cycles_per_week e abandonment_rate. Para ECO-02, a meta declarada é de output, não de outcome: “publicar 18 ativos em 14 dias, com artigo dentro de 1.200–1.800 palavras”, capturando baseline de visualizações, retenção, salvamentos, inscrições e downloads — com a regra explícita de “não estabelecer ainda metas arbitrárias de seguidores ou leads sem baseline”. O BMC do ECO-02 registra literalmente “% geral não informado” e “métricas não informadas permanecem desconhecidas”.</t>
        </is>
      </c>
      <c r="H6" s="17" t="inlineStr">
        <is>
          <t>inferencia</t>
        </is>
      </c>
      <c r="I6" s="17" t="inlineStr">
        <is>
          <t>media</t>
        </is>
      </c>
      <c r="J6" s="17" t="inlineStr">
        <is>
          <t>ECO-01 (candidato VALUE_EVENT-01) e ECO-02 (meta de output)</t>
        </is>
      </c>
      <c r="K6" s="17" t="inlineStr">
        <is>
          <t>DOC-C07-009;DOC-C02-043;DOC-C02-039;DOC-C16-003;DOC-C16-006</t>
        </is>
      </c>
      <c r="L6" s="18" t="inlineStr">
        <is>
          <t>DOC-C07-009 (objeto telemetry): “value_event_01: Projeto real → contexto interpretado → próxima ação válida → ação executada → conclusão/evidência registrada”; “functional_efficacy_endpoints: time_to_next_action, resume_latency, completion_rate, context_reconstruction, execution_cycles_per_week, abandonment_rate.” | DOC-C02-043 (Objetivo SMART da primeira fase): “Mensurável: publicar 18 ativos em 14 dias, com artigo dentro de 1.200–1.800 palavras”; “Não estabelecer ainda metas arbitrárias de seguidores ou leads sem baseline.” | DOC-C02-039 (rodapé do BMC): “métricas não informadas permanecem desconhecidas”. | DOC-C16-003 (MED-001) lista apenas o que verificar (chamada→destino, formulário→recebimento, download→arquivo), sem métrica-alvo.</t>
        </is>
      </c>
      <c r="M6" s="18" t="inlineStr">
        <is>
          <t>Falta a eleição formal de UMA métrica North Star com definição, fórmula, janela de medição e meta. O artefato estaria num documento de métricas/analytics ou num ADR de produto — inexistente no corpus.</t>
        </is>
      </c>
      <c r="N6" s="18" t="inlineStr">
        <is>
          <t>Eleger “VALUE_EVENT-01 concluídos por usuário ativo por semana” como NSM candidata e fixar baseline após o piloto de ≥40 usuários previsto em PMF-01.</t>
        </is>
      </c>
    </row>
    <row r="7">
      <c r="A7" s="17" t="n">
        <v>1</v>
      </c>
      <c r="B7" s="17" t="inlineStr">
        <is>
          <t>NEGÓCIO &amp; GTM</t>
        </is>
      </c>
      <c r="C7" s="17" t="inlineStr">
        <is>
          <t>1.6</t>
        </is>
      </c>
      <c r="D7" s="17" t="inlineStr">
        <is>
          <t>Métricas guardrail</t>
        </is>
      </c>
      <c r="E7" s="17" t="inlineStr">
        <is>
          <t>formulario_original</t>
        </is>
      </c>
      <c r="F7" s="17" t="inlineStr">
        <is>
          <t>preenchido</t>
        </is>
      </c>
      <c r="G7" s="18" t="inlineStr">
        <is>
          <t>Guardrails existentes, por domínio. (a) Econômico — CAC-01: TARGET-CAC provisório ≤ R$70 e alerta/limite de aproximadamente R$95 até existir CAC observado. (b) Regulatório e de comunicação — CLAIM-01, PROD-14 e PROD-15: claims proibidos hoje são “Reduz sintomas de TDAH”, “Melhora função executiva clinicamente”, “Trata TDAH”, “Diagnostica ou identifica TDAH”, “Substitui terapia, tratamento ou medicação” e “Cientificamente comprovado para TDAH”; e é bloqueado qualquer uso do produto como diagnóstico, substituição profissional ou inferência clínica. (c) Gate de PMF — PMF-01: só declarar PMF com convergência de VALUE_EVENT-01, coortes W1/W2/W4/W8, pagamento/renovação e pesquisa de dependência, com heurística n ≥ 40 qualificados e &gt; 40% “muito desapontados”. (d) Operacional de lançamento: “Broken links = 0”, “backlog crítico = 0”, “não existe entrega crítica aguardando produção”. (e) Epistemológico — invariantes: “original ≠ extração ≠ evidência ≠ decisão · candidate ≠ verified · benchmark ≠ dado do EXECUTAR · modelo econômico ≠ unit economics observado · literatura externa ≠ eficácia do EXECUTAR · similaridade ≠ suporte factual”.</t>
        </is>
      </c>
      <c r="H7" s="17" t="inlineStr">
        <is>
          <t>decisao</t>
        </is>
      </c>
      <c r="I7" s="17" t="inlineStr">
        <is>
          <t>alta</t>
        </is>
      </c>
      <c r="J7" s="18" t="inlineStr">
        <is>
          <t>TRANSVERSAL — econômico e de claims em ECO-01; operacional no GTM 07/09</t>
        </is>
      </c>
      <c r="K7" s="17" t="inlineStr">
        <is>
          <t>DOC-C07-009;DOC-C06-001;DOC-C08-007</t>
        </is>
      </c>
      <c r="L7" s="18" t="inlineStr">
        <is>
          <t>DOC-C07-009 (CAC-01): “Usar TARGET-CAC provisório ≤ R$70 e alerta/limite de aproximadamente R$95 até existir CAC observado.” | DOC-C07-009 (claims_policy.prohibited_now): lista literal dos seis claims proibidos. | DOC-C07-009 (Invariantes): “modelo econômico ≠ unit economics observado”. | DOC-C06-001 (D11, DoD do dia): “Broken links = 0; fluxo de conversão testado”; D12: “Tudo agendado; backlog crítico = 0; GTM READY.” | DOC-C08-007: “não existe entrega crítica aguardando produção.”</t>
        </is>
      </c>
      <c r="M7" s="18" t="inlineStr">
        <is>
          <t>Não há guardrail técnico de produto nesta área (taxa de erro, latência, custo de IA por usuário). O evento variable_ai_cost é coletado na especificação de telemetria, mas sem limiar definido.</t>
        </is>
      </c>
      <c r="N7" s="18" t="inlineStr">
        <is>
          <t>Definir limite para variable_ai_cost por usuário ativo, já que o evento está previsto mas não tem teto declarado.</t>
        </is>
      </c>
    </row>
    <row r="8">
      <c r="A8" s="17" t="n">
        <v>1</v>
      </c>
      <c r="B8" s="17" t="inlineStr">
        <is>
          <t>NEGÓCIO &amp; GTM</t>
        </is>
      </c>
      <c r="C8" s="17" t="inlineStr">
        <is>
          <t>1.7</t>
        </is>
      </c>
      <c r="D8" s="17" t="inlineStr">
        <is>
          <t>CAC (custo de aquisição)</t>
        </is>
      </c>
      <c r="E8" s="17" t="inlineStr">
        <is>
          <t>formulario_original</t>
        </is>
      </c>
      <c r="F8" s="17" t="inlineStr">
        <is>
          <t>parcial</t>
        </is>
      </c>
      <c r="G8" s="18" t="inlineStr">
        <is>
          <t>Não existe CAC observado. Existe apenas guardrail modelado: TARGET-CAC provisório ≤ R$70 (alvo conservador) e alerta/limite de aproximadamente R$95 (cenário-base); e CAC máximo por cenário para manter LTV:CAC = 3 em R$141 (otimista), R$94 (base) e R$71 (conservador). O próprio documento fixa a regra de cálculo e proíbe substitutos: “CAC observado = gasto atribuível / novos clientes pagantes. CPI, CPM, clique e cadastro não substituem CAC.” Classe epistêmica E (inferido), status DECIDED_AS_GUARDRAIL, confiança MÉDIA na fonte.</t>
        </is>
      </c>
      <c r="H8" s="17" t="inlineStr">
        <is>
          <t>hipotese</t>
        </is>
      </c>
      <c r="I8" s="17" t="inlineStr">
        <is>
          <t>media</t>
        </is>
      </c>
      <c r="J8" s="17" t="inlineStr">
        <is>
          <t>ECO-01</t>
        </is>
      </c>
      <c r="K8" s="17" t="inlineStr">
        <is>
          <t>DOC-C07-009</t>
        </is>
      </c>
      <c r="L8" s="18" t="inlineStr">
        <is>
          <t>DOC-C07-009 (bloco “CAC guardrail”): “≤ R$70 alvo conservador; ≈ R$95 alerta / cenário-base. CAC observado = gasto atribuível / novos clientes pagantes. CPI, CPM, clique e cadastro não substituem CAC.” | Achado CAC-HYP-01 (epistemic_class E, status MODEL_GUARDRAIL): “Guardrail econômico; CAC observado só existe após campanha e aquisição pagante.” | Gap registrado: {gap: CAC, status: “MODELO + GUARDRAIL”, closed: false, remaining: “Campanhas e clientes pagantes.”}</t>
        </is>
      </c>
      <c r="M8" s="18" t="inlineStr">
        <is>
          <t>Falta o CAC real. Não há, em nenhum dos 214 arquivos, campanha paga executada, cliente pagante registrado ou tabela de gasto por canal. O dado nasceria dos eventos acquisition_source, campaign_id e paid_at do warehouse de telemetria — já especificados, ainda não instrumentados.</t>
        </is>
      </c>
      <c r="N8" s="18" t="inlineStr">
        <is>
          <t>Não preencher com número. Instrumentar acquisition_source/campaign_id/paid_at antes da primeira campanha paga e só então calcular CAC observado.</t>
        </is>
      </c>
    </row>
    <row r="9">
      <c r="A9" s="17" t="n">
        <v>1</v>
      </c>
      <c r="B9" s="17" t="inlineStr">
        <is>
          <t>NEGÓCIO &amp; GTM</t>
        </is>
      </c>
      <c r="C9" s="17" t="inlineStr">
        <is>
          <t>1.8</t>
        </is>
      </c>
      <c r="D9" s="17" t="inlineStr">
        <is>
          <t>LTV (valor do tempo de vida)</t>
        </is>
      </c>
      <c r="E9" s="17" t="inlineStr">
        <is>
          <t>formulario_original</t>
        </is>
      </c>
      <c r="F9" s="17" t="inlineStr">
        <is>
          <t>parcial</t>
        </is>
      </c>
      <c r="G9" s="18" t="inlineStr">
        <is>
          <t>Não existe LTV observado. Existe apenas LTV modelado sob premissas declaradas como classe E: ARPU mensal de R$49,90 e margem bruta assumida de 85%; cenário otimista com churn mensal de 10% → LTV R$424; cenário base com churn de 15% → LTV R$282,77; cenário conservador com churn de 20% → LTV R$212. O documento instrui explicitamente: “Não persistir como LTV factual. Substituir por cohorts LTV_30/60/90/180/365.”</t>
        </is>
      </c>
      <c r="H9" s="17" t="inlineStr">
        <is>
          <t>hipotese</t>
        </is>
      </c>
      <c r="I9" s="17" t="inlineStr">
        <is>
          <t>media</t>
        </is>
      </c>
      <c r="J9" s="17" t="inlineStr">
        <is>
          <t>ECO-01</t>
        </is>
      </c>
      <c r="K9" s="17" t="inlineStr">
        <is>
          <t>DOC-C07-009</t>
        </is>
      </c>
      <c r="L9" s="18" t="inlineStr">
        <is>
          <t>DOC-C07-009 (unit_economics, status MODEL_HYPOTHESIS_NOT_OBSERVED): “arpu_monthly_brl: 49.9; gross_margin_assumption: 0.85; scenarios: optimistic churn 0.10 → ltv 424; base churn 0.15 → ltv 282.77; conservative churn 0.20 → ltv 212.” | Achado LTV-HYP-01: “LTV_MODEL_BASE ≈ R$282,77 sob ARPU R$49,90, margem bruta 85% e churn mensal 15%. […] Não persistir como LTV factual.” | Gap registrado: {gap: LTV, status: “MODELO HIPOTÉTICO”, closed: false, remaining: “Retenção, churn e margem reais.”}</t>
        </is>
      </c>
      <c r="M9" s="18" t="inlineStr">
        <is>
          <t>Falta LTV factual: não há coorte real, churn observado nem pagamento registrado. O dado nasceria das janelas LTV_30/60/90/180/365 do warehouse de telemetria, especificadas mas não populadas.</t>
        </is>
      </c>
      <c r="N9" s="18" t="inlineStr">
        <is>
          <t>Não preencher com número. Rodar as coortes LTV_30/60/90 após o primeiro piloto pagante e substituir o modelo.</t>
        </is>
      </c>
    </row>
    <row r="10">
      <c r="A10" s="17" t="n">
        <v>1</v>
      </c>
      <c r="B10" s="17" t="inlineStr">
        <is>
          <t>NEGÓCIO &amp; GTM</t>
        </is>
      </c>
      <c r="C10" s="17" t="inlineStr">
        <is>
          <t>1.9</t>
        </is>
      </c>
      <c r="D10" s="17" t="inlineStr">
        <is>
          <t>Margem por unidade/usuário</t>
        </is>
      </c>
      <c r="E10" s="17" t="inlineStr">
        <is>
          <t>formulario_original</t>
        </is>
      </c>
      <c r="F10" s="17" t="inlineStr">
        <is>
          <t>parcial</t>
        </is>
      </c>
      <c r="G10" s="18" t="inlineStr">
        <is>
          <t>Há regra de margem, não margem observada, e ela difere por unidade. ECO-01 App: margem bruta de 85% é premissa (classe E) do modelo econômico, não medição. ECO-05 Infoprodutos: a margem deve nascer da cadeia “valor percebido → benchmark → posicionamento → taxa do canal → CAC → margem de contribuição”, com taxa Hotmart projetada por prudência em 9,9% + R$2,49 (a Central de Ajuda ainda mostrava 9,9% + R$1,00, com mudança anunciada para 21/09/2026). ECO-04 Produtos físicos: a margem deve nascer do custo variável total Y, nunca do preço de fornecedor — a planilha de landed cost do Timer 45 parte de R$39 de fornecedor e mantém “preencher” em frete internacional, impostos/importação, frete/localização, embalagem Executar e etiqueta/manual/QR; fórmulas registradas: “Margem bruta = (Preço − Custo) ÷ Preço” e “Markup = Preço ÷ Custo”. Política de margem declarada como a testar, sem percentual fixado: “Eu não fixaria ainda ‘o Timer precisa dar 60%’ ou ‘o Neurobook precisa dar 50%’”, com estratégia diferenciada por classe (Timer = produto comparável, margem disciplinada; Neurobook = proprietário, maior liberdade de preço; Office Kit = bundle, maximizar margem absoluta e ticket, não percentual).</t>
        </is>
      </c>
      <c r="H10" s="17" t="inlineStr">
        <is>
          <t>decisao</t>
        </is>
      </c>
      <c r="I10" s="17" t="inlineStr">
        <is>
          <t>media</t>
        </is>
      </c>
      <c r="J10" s="18" t="inlineStr">
        <is>
          <t>TRANSVERSAL — ECO-01 (premissa 85%), ECO-05 (taxa de canal), ECO-04 (landed cost incompleto)</t>
        </is>
      </c>
      <c r="K10" s="17" t="inlineStr">
        <is>
          <t>DOC-C07-009;DOC-C05-001;DOC-C09-008</t>
        </is>
      </c>
      <c r="L10" s="18" t="inlineStr">
        <is>
          <t>DOC-C07-009: “gross_margin_assumption: 0.85”, dentro de unit_economics com status MODEL_HYPOTHESIS_NOT_OBSERVED. | DOC-C05-001 (Hotmart e margem): “a página comercial da Hotmart já anuncia 9,9% + R$2,49. Eu faria suas projeções usando 9,9% + R$2,49, por prudência”; e “valor percebido → benchmark → posicionamento → taxa do canal → CAC → margem de contribuição.” | DOC-C05-001 (Unit Economics — produtos físicos): tabela do Timer 45 com “Preço do fornecedor R$39” e cinco linhas “preencher”; “O preço deve nascer de Y, e não dos R$39.” | DOC-C09-008: “Timer 45 | ferramenta funcional | validar custo e preço”.</t>
        </is>
      </c>
      <c r="M10" s="18" t="inlineStr">
        <is>
          <t>Faltam os custos posto (landed cost) reais dos SKUs físicos — as linhas estão literalmente marcadas “preencher” — e falta a margem observada por usuário do app (custo de infraestrutura + variable_ai_cost por usuário ativo). Estaria numa planilha de custo de produto e num relatório de custo por usuário.</t>
        </is>
      </c>
      <c r="N10" s="18" t="inlineStr">
        <is>
          <t>Cotar frete, impostos e embalagem dos quatro SKUs para fechar o Y do Timer 45 antes de publicar preço na loja.</t>
        </is>
      </c>
    </row>
    <row r="11">
      <c r="A11" s="17" t="n">
        <v>1</v>
      </c>
      <c r="B11" s="17" t="inlineStr">
        <is>
          <t>NEGÓCIO &amp; GTM</t>
        </is>
      </c>
      <c r="C11" s="17" t="inlineStr">
        <is>
          <t>1.10</t>
        </is>
      </c>
      <c r="D11" s="17" t="inlineStr">
        <is>
          <t>Ponto de equilíbrio (breakeven)</t>
        </is>
      </c>
      <c r="E11" s="17" t="inlineStr">
        <is>
          <t>formulario_original</t>
        </is>
      </c>
      <c r="F11" s="17" t="inlineStr">
        <is>
          <t>lacuna</t>
        </is>
      </c>
      <c r="G11" s="17" t="n"/>
      <c r="H11" s="17" t="inlineStr">
        <is>
          <t>fato_interno</t>
        </is>
      </c>
      <c r="I11" s="17" t="inlineStr">
        <is>
          <t>alta</t>
        </is>
      </c>
      <c r="J11" s="17" t="inlineStr">
        <is>
          <t>TRANSVERSAL</t>
        </is>
      </c>
      <c r="K11" s="17" t="inlineStr">
        <is>
          <t>DOC-C04-001;DOC-C07-009;DOC-C05-001</t>
        </is>
      </c>
      <c r="L11" s="18" t="inlineStr">
        <is>
          <t>Busca literal por “break-even”, “breakeven” e “ponto de equilíbrio” em todos os 214 arquivos retorna um único hit: DOC-C04-001 (Cronograma.md), que é o cronograma do próprio formulário e apenas lista o nome do campo — “1.10 | Ponto de equilíbrio (breakeven) | formulário”. DOC-C07-009, o documento econômico mais avançado do corpus, cobre preço, CAC, LTV e PMF, mas não calcula breakeven, e classifica todo o bloco de unit economics como MODEL_HYPOTHESIS_NOT_OBSERVED. DOC-C05-001 discute margem, markup e capital de giro, mas nunca ponto de equilíbrio.</t>
        </is>
      </c>
      <c r="M11" s="18" t="inlineStr">
        <is>
          <t>Falta qualquer cálculo de ponto de equilíbrio: não há custo fixo mensal declarado (infraestrutura, ferramentas, Hotmart, domínios), não há meta de assinantes pagantes e não há receita atual registrada. O dado estaria numa planilha de custos fixos + modelo de receita, ou num P&amp;L simplificado — inexistentes no corpus.</t>
        </is>
      </c>
      <c r="N11" s="18" t="inlineStr">
        <is>
          <t>Levantar o custo fixo mensal real (Vercel, Neon, Clerk, Sentry, domínios, Hotmart) e dividi-lo pela margem de contribuição por assinante para obter o número mínimo de assinantes; não estimar antes desse levantamento.</t>
        </is>
      </c>
    </row>
    <row r="12">
      <c r="A12" s="17" t="n">
        <v>1</v>
      </c>
      <c r="B12" s="17" t="inlineStr">
        <is>
          <t>NEGÓCIO &amp; GTM</t>
        </is>
      </c>
      <c r="C12" s="17" t="inlineStr">
        <is>
          <t>1.11</t>
        </is>
      </c>
      <c r="D12" s="17" t="inlineStr">
        <is>
          <t>Teto de gasto de infraestrutura</t>
        </is>
      </c>
      <c r="E12" s="17" t="inlineStr">
        <is>
          <t>formulario_original</t>
        </is>
      </c>
      <c r="F12" s="17" t="inlineStr">
        <is>
          <t>lacuna</t>
        </is>
      </c>
      <c r="G12" s="17" t="n"/>
      <c r="H12" s="17" t="inlineStr">
        <is>
          <t>fato_interno</t>
        </is>
      </c>
      <c r="I12" s="17" t="inlineStr">
        <is>
          <t>alta</t>
        </is>
      </c>
      <c r="J12" s="17" t="inlineStr">
        <is>
          <t>ECO-01 (e ECO-02, site/CMS)</t>
        </is>
      </c>
      <c r="K12" s="17" t="inlineStr">
        <is>
          <t>DOC-C04-002;DOC-C02-017;DOC-C07-009</t>
        </is>
      </c>
      <c r="L12" s="18" t="inlineStr">
        <is>
          <t>A infraestrutura está nomeada em vários documentos — DOC-C04-002 cita monorepo com bun, apps/app em Next.js, apps/mobile em Expo 57, Clerk, Sentry, Vercel Preview, “AWS/Aurora” e app local-first via localStorage; DOC-C02-017 cita “Vercel Payload Website Starter + Next.js + Payload CMS + PostgreSQL/Neon + Vercel Blob”, mais “Vercel Web Analytics + Speed Insights”. Nenhum desses documentos, nem DOC-C07-009, declara valor monetário de gasto de infraestrutura ou teto. Busca por “teto de gasto”, “custo de infra”, “orçamento de infra”, “free tier” e “plano gratuito” em todo o corpus não retorna ocorrências.</t>
        </is>
      </c>
      <c r="M12" s="18" t="inlineStr">
        <is>
          <t>Falta o teto de gasto: nenhum documento traz fatura, plano contratado (Hobby/Pro), limite de billing ou alerta de custo de qualquer fornecedor. O dado estaria nos consoles/faturas de Vercel, Neon, Clerk e Sentry, ou num documento de orçamento de infraestrutura.</t>
        </is>
      </c>
      <c r="N12" s="18" t="inlineStr">
        <is>
          <t>Exportar o custo mensal atual de cada fornecedor e definir um teto explícito com alerta de billing antes do lançamento de 07/09.</t>
        </is>
      </c>
    </row>
    <row r="13">
      <c r="A13" s="17" t="n">
        <v>1</v>
      </c>
      <c r="B13" s="17" t="inlineStr">
        <is>
          <t>NEGÓCIO &amp; GTM</t>
        </is>
      </c>
      <c r="C13" s="17" t="inlineStr">
        <is>
          <t>1.12</t>
        </is>
      </c>
      <c r="D13" s="17" t="inlineStr">
        <is>
          <t>Gatilhos de upgrade de infra</t>
        </is>
      </c>
      <c r="E13" s="17" t="inlineStr">
        <is>
          <t>formulario_original</t>
        </is>
      </c>
      <c r="F13" s="17" t="inlineStr">
        <is>
          <t>lacuna</t>
        </is>
      </c>
      <c r="G13" s="17" t="n"/>
      <c r="H13" s="17" t="inlineStr">
        <is>
          <t>fato_interno</t>
        </is>
      </c>
      <c r="I13" s="17" t="inlineStr">
        <is>
          <t>media</t>
        </is>
      </c>
      <c r="J13" s="17" t="inlineStr">
        <is>
          <t>ECO-01</t>
        </is>
      </c>
      <c r="K13" s="17" t="inlineStr">
        <is>
          <t>DOC-C04-002;DOC-C07-009</t>
        </is>
      </c>
      <c r="L13" s="18" t="inlineStr">
        <is>
          <t>Não há gatilho de upgrade de infraestrutura em nenhum documento lido. O único enunciado adjacente é uma decisão de sequenciamento arquitetural, não um gatilho de escala: DOC-C04-002 registra “Integrar o núcleo ao Vercel AI SDK, MCP authority, Clerk e UnitOfWork local antes de Aurora” e “App é local-first: EstadoOperacional hidrata de localStorage via chaveOrganizacao + restaurarEstado, sincroniza com servidor só opcionalmente (remotePersistenceAvailable)”. DOC-C07-009 prevê coletar variable_ai_cost, mas não define limiar de disparo.</t>
        </is>
      </c>
      <c r="M13" s="18" t="inlineStr">
        <is>
          <t>Falta o gatilho: não existe métrica-limiar (usuários ativos, requisições, GB de banco, custo mensal, p95 de latência) associada a uma ação de upgrade. O dado estaria num runbook de capacidade/escalabilidade ou num ADR de infraestrutura.</t>
        </is>
      </c>
      <c r="N13" s="18" t="inlineStr">
        <is>
          <t>Definir dois ou três limiares objetivos (custo mensal, conexões de banco, p95) que disparem a migração de local-first para persistência remota/Aurora, e registrá-los como ADR.</t>
        </is>
      </c>
    </row>
    <row r="14">
      <c r="A14" s="17" t="n">
        <v>1</v>
      </c>
      <c r="B14" s="17" t="inlineStr">
        <is>
          <t>NEGÓCIO &amp; GTM</t>
        </is>
      </c>
      <c r="C14" s="17" t="inlineStr">
        <is>
          <t>1.13</t>
        </is>
      </c>
      <c r="D14" s="17" t="inlineStr">
        <is>
          <t>Análise competitiva</t>
        </is>
      </c>
      <c r="E14" s="17" t="inlineStr">
        <is>
          <t>enriquecido_via_plugin</t>
        </is>
      </c>
      <c r="F14" s="17" t="inlineStr">
        <is>
          <t>preenchido</t>
        </is>
      </c>
      <c r="G14" s="18" t="inlineStr">
        <is>
          <t>Há análise competitiva em três frentes, todas com preços e fontes registrados. (a) ECO-05 Infoprodutos — benchmark de e-books: ofertas de TDAH observadas a R$19,90, R$27, R$29,90 e R$37,90, e um e-book comercial da Artmed de Barkley a R$97,28; faixas de posicionamento recomendadas de R$19,90–29,90 (PDF simples) até R$99–129 (bundle de 3 e-books). Benchmark de cursos: curso introdutório 12h/16 aulas a R$89,90; curso neurodivergência/trabalho 15+ aulas a R$97; escola ampla com 200+ aulas a R$197; programa Ana Beatriz a ~R$196; programa guiado de 7 encontros a R$197; programa premium “TDAH 2.0” (90 dias, 75 aulas, app/IA) a R$1.997. (b) ECO-07 Estúdio — benchmark de consultoria: CCN a R$300/h com implantação conduzida; Produtive.Me a R$2.500 por sprint de mapeamento de 15 dias e R$4.000 por 30 dias, sem implementação; benchmark de Work OS usado para decidir vender “transformação operacional”, não “consultoria de Notion”. (c) ECO-03 Framework — prior art: ICF/CIF e WHODAS 2.0 da OMS, Roadmap to Self-Empowerment for Autistic Adults, My Sensory Experiences Tool, ICF Core Sets para autismo e TDAH, “cognitive risk” já existente em ERM, publicação da APM de 26/08/2026 e pesquisa da APM sobre neurodiversidade em project management. Guardrail explícito: “‘Não encontramos’ não significa ‘não existe’.”</t>
        </is>
      </c>
      <c r="H14" s="17" t="inlineStr">
        <is>
          <t>evidencia_externa</t>
        </is>
      </c>
      <c r="I14" s="17" t="inlineStr">
        <is>
          <t>alta</t>
        </is>
      </c>
      <c r="J14" s="18" t="inlineStr">
        <is>
          <t>TRANSVERSAL — forte em ECO-05, ECO-07 e ECO-03; fraco em ECO-01</t>
        </is>
      </c>
      <c r="K14" s="17" t="inlineStr">
        <is>
          <t>DOC-C05-001;DOC-C01-005;DOC-C02-031;DOC-C02-022;DOC-C07-009</t>
        </is>
      </c>
      <c r="L14" s="18" t="inlineStr">
        <is>
          <t>DOC-C05-001 (Benchmark — e-books): “Há ofertas de TDAH por R$ 19,90, R$ 27, R$ 29,90 e R$ 37,90; um e-book comercial da Artmed de Barkley, muito mais extenso e editorialmente tradicional, está em R$ 97,28.” (Benchmark — curso): tabela com seis ofertas de R$89,90 a R$1.997. (Serviços): “a CCN mantém consultoria a R$300/h […]; a Produtive.Me cobra R$2.500 por um sprint de mapeamento de 15 dias e R$4.000 por 30 dias, sem implementação.” | DOC-C01-005: “O framework mais próximo, em termos de estrutura geral, é a ICF/CIF da OMS”; “Há também o WHODAS 2.0, da OMS”. | DOC-C02-031 (item 4, GUARDRAIL): “‘Não encontramos’ não significa ‘não existe’.” | DOC-C02-022 (RC-014): “A APM publicou em 26/08/2026 conteúdo dizendo que projetos também podem falhar cognitivamente.” | DOC-C07-009 (themes_qt): tema “Benchmark de apps concorrentes” com apenas 3 registros.</t>
        </is>
      </c>
      <c r="M14" s="18" t="inlineStr">
        <is>
          <t>A análise competitiva do ECO-01 é a mais fraca: apps concorrentes (Notion, ClickUp, Trello, Todoist e similares) aparecem apenas como ferramentas que o cliente já usa, sem comparativo de features, preço ou posicionamento — e a base de evidências tem só 3 registros no tema “Benchmark de apps concorrentes”.</t>
        </is>
      </c>
      <c r="N14" s="18" t="inlineStr">
        <is>
          <t>Produzir um comparativo direto de apps concorrentes com preço, modelo de assinatura e tratamento de “próxima ação”, para sustentar o posicionamento de PRICE-01.</t>
        </is>
      </c>
    </row>
    <row r="15">
      <c r="A15" s="17" t="n">
        <v>1</v>
      </c>
      <c r="B15" s="17" t="inlineStr">
        <is>
          <t>NEGÓCIO &amp; GTM</t>
        </is>
      </c>
      <c r="C15" s="17" t="inlineStr">
        <is>
          <t>1.14</t>
        </is>
      </c>
      <c r="D15" s="17" t="inlineStr">
        <is>
          <t>Dados e warehouse</t>
        </is>
      </c>
      <c r="E15" s="17" t="inlineStr">
        <is>
          <t>enriquecido_via_plugin</t>
        </is>
      </c>
      <c r="F15" s="17" t="inlineStr">
        <is>
          <t>preenchido</t>
        </is>
      </c>
      <c r="G15" s="18" t="inlineStr">
        <is>
          <t>Existe arquitetura de dados documentada em cinco camadas. (a) Base de evidências: base_evidencias_tdah_adulto_WAREHOUSE.json, que encapsula um CSV — file_name base_evidencias_tdah_adulto_WAREHOUSE.csv, sha256 57f2a101…cffdbf, 129.719 bytes, 30 colunas, 240 registros. (b) Canônico e schema: “Google Drive / Supabase-2026-TDHA”, schema_version “DATA-SCHEMA-002 / base 1.1”; estado atual com 31 sources, 248 RAW, 116 knowledge, 161 evidence candidates, 0 strict VERIFIED, 240 evidências legadas, 694 perguntas de framework e 22 decisões operacionais. Gate factual definido: “record_status=VERIFIED · classe A/B/C · source_verified · extraction_verified · context_verified · proveniência · numeric_verified para measurement”. (c) Schema de domínio: SCHEMA_MATRIZ_GESTAO_TDAH_V1 (CSV + YAML), 18 campos, origem DATA-ADHD-PM-001/DRIVE-PROD-002, estado documental “existente + registrado + verificado; não preenchido; não aprovado como schema final”. (d) Telemetria de produto especificada e não instrumentada: acquisition_source, campaign_id, install_or_signup, activated_at, first_value_at, paid_at, plan, gross_revenue, refund, variable_ai_cost, cancelled_at, renewed_at, last_value_event_at; coortes W1/W2/W4/W8; janelas LTV_30/60/90/180/365. (e) Observabilidade editorial: Vercel Web Analytics + Speed Insights, com decisão RC-054 de priorizar métricas agregadas em vez de identificação individual.</t>
        </is>
      </c>
      <c r="H15" s="17" t="inlineStr">
        <is>
          <t>fato_interno</t>
        </is>
      </c>
      <c r="I15" s="17" t="inlineStr">
        <is>
          <t>alta</t>
        </is>
      </c>
      <c r="J15" s="17" t="inlineStr">
        <is>
          <t>TRANSVERSAL</t>
        </is>
      </c>
      <c r="K15" s="17" t="inlineStr">
        <is>
          <t>DOC-C07-007;DOC-C07-009;DOC-C07-005;DOC-C07-006;DOC-C02-017</t>
        </is>
      </c>
      <c r="L15" s="18" t="inlineStr">
        <is>
          <t>DOC-C07-007 (cabeçalho do JSON): “format: csv · file_name: base_evidencias_tdah_adulto_WAREHOUSE.csv · sha256: 57f2a1015cf04e67fba04178e038f8d31f617d6e0ec050711280c8b048cffdbf · size_bytes: 129719 · columns: 30 · row_count: 240”. | DOC-C07-009 (status): “canonical: Google Drive / Supabase-2026-TDHA · schema_version: DATA-SCHEMA-002 / base 1.1”; (Estado atual): “31 sources · 248 RAW · 116 knowledge · 161 evidence candidates · 0 strict verified · 22 decisões operacionais.” | DOC-C07-006: “estado_documental: existente + registrado + verificado; não preenchido; não aprovado como schema final”. | DOC-C02-017 (OBSERVABILIDADE): “Vercel Web Analytics + Speed Insights”; RC-054: “Inicialmente priorizar métricas agregadas, não identificação…”.</t>
        </is>
      </c>
      <c r="M15" s="18" t="inlineStr">
        <is>
          <t>O warehouse cobre evidência científica, não dados de produto: são 0 registros strict VERIFIED e nenhum evento de telemetria do app foi coletado — a lista de required_events é especificação, não dado.</t>
        </is>
      </c>
      <c r="N15" s="18" t="inlineStr">
        <is>
          <t>Instrumentar os 13 required_events antes do lançamento, para que CAC, LTV e PMF possam migrar de modelo para observação.</t>
        </is>
      </c>
    </row>
    <row r="16">
      <c r="A16" s="17" t="n">
        <v>1</v>
      </c>
      <c r="B16" s="17" t="inlineStr">
        <is>
          <t>NEGÓCIO &amp; GTM</t>
        </is>
      </c>
      <c r="C16" s="17" t="inlineStr">
        <is>
          <t>1.15</t>
        </is>
      </c>
      <c r="D16" s="17" t="inlineStr">
        <is>
          <t>Cadência financeira recorrente</t>
        </is>
      </c>
      <c r="E16" s="17" t="inlineStr">
        <is>
          <t>enriquecido_via_plugin</t>
        </is>
      </c>
      <c r="F16" s="17" t="inlineStr">
        <is>
          <t>lacuna</t>
        </is>
      </c>
      <c r="G16" s="17" t="n"/>
      <c r="H16" s="17" t="inlineStr">
        <is>
          <t>fato_interno</t>
        </is>
      </c>
      <c r="I16" s="17" t="inlineStr">
        <is>
          <t>alta</t>
        </is>
      </c>
      <c r="J16" s="17" t="inlineStr">
        <is>
          <t>TRANSVERSAL</t>
        </is>
      </c>
      <c r="K16" s="17" t="inlineStr">
        <is>
          <t>DOC-C04-001;DOC-C06-001;DOC-C07-009;DOC-C07-010</t>
        </is>
      </c>
      <c r="L16" s="18" t="inlineStr">
        <is>
          <t>Busca por “DRE”, “P&amp;L”, “demonstrativo de resultado”, “variância”, “fluxo de caixa” e “MRR” em todo o corpus retorna apenas: DOC-C04-001 (Cronograma.md), que só lista o nome do campo “1.15 | Cadência financeira recorrente (P&amp;L/variância) | 🔌 finance/financial-statements, variance-analysis”, e ocorrências em outro sentido (variância estatística, gates operacionais). Existe cadência OPERACIONAL detalhada — DOC-C06-001 define templates diário e semanal, WEEK-01/WEEK-02, gates G0–G9, DoD diário e somatório de horas por value stream — mas nenhuma cadência FINANCEIRA: não há fechamento mensal, revisão de receita e custo, nem análise de variância orçado × realizado.</t>
        </is>
      </c>
      <c r="M16" s="18" t="inlineStr">
        <is>
          <t>Falta a rotina financeira recorrente: quem fecha, com que periodicidade, contra qual orçamento e em qual artefato. O dado estaria num P&amp;L/planilha financeira mensal ou num runbook de fechamento — inexistentes no corpus.</t>
        </is>
      </c>
      <c r="N16" s="18" t="inlineStr">
        <is>
          <t>Instituir um fechamento mensal simples (receita por canal, custo fixo, custo variável de IA/infra, margem) assim que houver a primeira venda; hoje não há receita registrada que justifique análise de variância.</t>
        </is>
      </c>
    </row>
    <row r="17">
      <c r="A17" s="17" t="n">
        <v>1</v>
      </c>
      <c r="B17" s="17" t="inlineStr">
        <is>
          <t>NEGÓCIO &amp; GTM</t>
        </is>
      </c>
      <c r="C17" s="17" t="inlineStr">
        <is>
          <t>1.16</t>
        </is>
      </c>
      <c r="D17" s="17" t="inlineStr">
        <is>
          <t>Pipeline e forecast de vendas</t>
        </is>
      </c>
      <c r="E17" s="17" t="inlineStr">
        <is>
          <t>enriquecido_via_plugin</t>
        </is>
      </c>
      <c r="F17" s="17" t="inlineStr">
        <is>
          <t>parcial</t>
        </is>
      </c>
      <c r="G17" s="18" t="inlineStr">
        <is>
          <t>Há pipeline definido para ECO-07 (Estúdio) e nenhum forecast quantificado em nenhuma unidade. Pipeline do Estúdio: “Conteúdo → problema reconhecido → showroom demonstra solução concreta → formulário visual de 5 min → seleção de fit → D1 entender + cocriar → D2–D3 estruturar + construir → D4 demonstrar protótipo → D5 Studio + teste assíncrono → D6 implementar + onboarding → D7 validar → 10/20/30 manutenção → caso + evidência → novo projeto / indicação / expansão”. Capacidade declarada: 1 cliente por semana, 1 projeto, 1 entrega principal, 7 dias. Escada comercial que funciona como estágio de pipeline: Piloto 01–03 a R$0 (para construir processo, métricas e portfólio) → Founding 04–06 a R$700 (primeiros clientes pagantes) → Regular Workflow a partir de R$1.490, Automação/Agente a partir de R$1.990, App/Sistema a partir de R$2.490. A qualificação é capturada no FORM-001, que inclui “prazo desejado” e “faixa de investimento” (Até R$1.500 · R$1.500–2.500 · R$2.500–5.000 · Ainda não sei), além da tabela de fit “É para / Não é para”.</t>
        </is>
      </c>
      <c r="H17" s="17" t="inlineStr">
        <is>
          <t>decisao</t>
        </is>
      </c>
      <c r="I17" s="17" t="inlineStr">
        <is>
          <t>media</t>
        </is>
      </c>
      <c r="J17" s="18" t="inlineStr">
        <is>
          <t>ECO-07 (pipeline definido); forecast ausente em todas as unidades</t>
        </is>
      </c>
      <c r="K17" s="17" t="inlineStr">
        <is>
          <t>DOC-C05-001;DOC-C12-003;DOC-C09-006;DOC-C11-010</t>
        </is>
      </c>
      <c r="L17" s="18" t="inlineStr">
        <is>
          <t>DOC-C05-001 (Cadeia única de valor final): “Conteúdo ↓ problema reconhecido ↓ showroom demonstra solução concreta ↓ formulário visual de 5 min ↓ seleção de fit ↓ D1 · entender + cocriar […] ↓ caso + evidência ↓ novo projeto / indicação / expansão.” (Escada recomendada): “Piloto 01–03 · R$0; Founding 04–06 · R$700; Regular Workflow · desde R$1.490; Regular Automação/Agente · desde R$1.990; Regular App/Sistema · desde R$2.490.” | DOC-C09-006 (Modelo): “1 cliente por semana · 1 projeto · 1 entrega principal · 7 dias.” | DOC-C12-003: “10 · Faixa de investimento imaginada: Até R$1.500 · R$1.500–2.500 · R$2.500–5.000 · Ainda não sei.”</t>
        </is>
      </c>
      <c r="M17" s="18" t="inlineStr">
        <is>
          <t>Falta o forecast: não há número esperado de leads, taxa de conversão por estágio, ticket médio projetado nem receita prevista por mês. E não há pipeline algum para ECO-01 (assinaturas) nem ECO-05 (infoprodutos). O dado estaria num CRM ou planilha de forecast — inexistentes no corpus.</t>
        </is>
      </c>
      <c r="N17" s="18" t="inlineStr">
        <is>
          <t>Instrumentar o FORM-001 para contar leads por estágio a partir de 07/09 e só então projetar conversão, dado que a capacidade está travada em 1 cliente por semana.</t>
        </is>
      </c>
    </row>
    <row r="18">
      <c r="A18" s="17" t="n">
        <v>2</v>
      </c>
      <c r="B18" s="17" t="inlineStr">
        <is>
          <t>PRODUTO</t>
        </is>
      </c>
      <c r="C18" s="17" t="inlineStr">
        <is>
          <t>2.1</t>
        </is>
      </c>
      <c r="D18" s="17" t="inlineStr">
        <is>
          <t>Nome do produto/feature</t>
        </is>
      </c>
      <c r="E18" s="17" t="inlineStr">
        <is>
          <t>formulario_original</t>
        </is>
      </c>
      <c r="F18" s="17" t="inlineStr">
        <is>
          <t>preenchido</t>
        </is>
      </c>
      <c r="G18" s="18" t="inlineStr">
        <is>
          <t>Nomes canônicos por unidade. ECO-01 — produto: EXECUTAR (grafado “Executar”), com três features de destaque: Feature 01 Agente 007 / Autogestão adaptativa; Feature 02 Scanner / QR / Atalhos; Feature 03 Mapa-OS / Analógico / Prisma. No código, a identidade unificada chama-se “tokens exec.*” e as rotas entregues são /scanner e /mapa-os (formatos ?format=prisma, A4 retrato, e ?format=tripe, A4 paisagem). ECO-07: “Executar Studio”, com três famílias — 01 Processos &amp; Workflows, 02 Automações &amp; Agentes, 03 Apps &amp; Sistemas de Trabalho. ECO-02/ECO-03: marca editorial “Risco Cognitivo” (publicação riscocognitivo.org, canais @riscocognitivo) e framework técnico provisório “Cognitive Execution Risk Management — CERM”. ECO-05: curso “Gerenciando o TDAH Adulto” (I0) e e-books I1 “Aplicando o TDAH Adulto — Tutorial Prático”, I2 “TDAH Risk Management na Prática”, I3 “Gerenciando o TDAH Adulto / 360”. ECO-04: P0 “Executar Office Kit” (hero product), P1 “Executar Neurobook”, P2 “Timer 45”, P3 “Kit de Organização Física”. ECO-02: “Biblioteca Executar”.</t>
        </is>
      </c>
      <c r="H18" s="17" t="inlineStr">
        <is>
          <t>fato_interno</t>
        </is>
      </c>
      <c r="I18" s="17" t="inlineStr">
        <is>
          <t>alta</t>
        </is>
      </c>
      <c r="J18" s="17" t="inlineStr">
        <is>
          <t>TRANSVERSAL — nomes distintos por unidade</t>
        </is>
      </c>
      <c r="K18" s="18" t="inlineStr">
        <is>
          <t>DOC-C05-001;DOC-C04-002;DOC-C09-004;DOC-C09-011;DOC-C09-013;DOC-C09-008;DOC-C01-006;DOC-C02-016</t>
        </is>
      </c>
      <c r="L18" s="18" t="inlineStr">
        <is>
          <t>DOC-C05-001: “Feature 01 — Agente 007 / Autogestão adaptativa”, “Feature 02 — Scanner / QR / Atalhos”, “Feature 03 — Mapa-OS / Analógico / Prisma”; Master Index dos infoprodutos I0–I4; Master Index — Produtos Físicos P0–P4. | DOC-C04-002: “PR #77 — feat(design-system): identidade única de tokens exec.*”; rotas “apps/app/app/(authenticated)/scanner/” e “/mapa-os?format=prisma (padrão, A4 retrato) e /mapa-os?format=tripe (A4 paisagem)”. | DOC-C01-006: “Risco Cognitivo → é a marca editorial; riscocognitivo.org → é a publicação/site; @riscocognitivo → são os canais da publicação.” | DOC-C02-016: “TÍTULO: Cognitive Execution Risk Management — v0.1”, com guardrail “Não reivindicar criação de ‘Cognitive Risk Management’”.</t>
        </is>
      </c>
      <c r="M18" s="17" t="n"/>
      <c r="N18" s="17" t="n"/>
    </row>
    <row r="19">
      <c r="A19" s="17" t="n">
        <v>2</v>
      </c>
      <c r="B19" s="17" t="inlineStr">
        <is>
          <t>PRODUTO</t>
        </is>
      </c>
      <c r="C19" s="17" t="inlineStr">
        <is>
          <t>2.2</t>
        </is>
      </c>
      <c r="D19" s="17" t="inlineStr">
        <is>
          <t>Contexto do PRD</t>
        </is>
      </c>
      <c r="E19" s="17" t="inlineStr">
        <is>
          <t>formulario_original</t>
        </is>
      </c>
      <c r="F19" s="17" t="inlineStr">
        <is>
          <t>parcial</t>
        </is>
      </c>
      <c r="G19" s="18" t="inlineStr">
        <is>
          <t>Não existe PRD no corpus. O que existe é a base que antecede e alimenta um PRD, mais referências a PRDs que estão fora do conjunto documental. (a) Base: DATA-ADHD-PM-001 — “Matriz paralela Gestão de Projetos → exigência humana → vulnerabilidade associada ao TDAH → impacto operacional → compensação sistêmica → decisão de produto”, versão 1.0, de 19/08/2026, owner “Não determinado”, com o Next 01 explícito de “transformar a matriz em requisitos funcionais e princípios de design verificáveis”. (b) 22 decisões operacionais governadas (PROD-01…PROD-15 mais ICP-01, POSITION-01, PRICE-01, CAC-01, PMF-01, EFFICACY-01 e CLAIM-01), que funcionam como o contexto decisório que um PRD consumiria. (c) Referências a artefatos ausentes: DOC-C04-002 cita “PRD-006/UX-004” como critério de UX do Scanner e “OQ-008 do FRD original do Scanner” — nem o PRD-006 nem o FRD constam do inventário de 214 arquivos.</t>
        </is>
      </c>
      <c r="H19" s="17" t="inlineStr">
        <is>
          <t>fato_interno</t>
        </is>
      </c>
      <c r="I19" s="17" t="inlineStr">
        <is>
          <t>media</t>
        </is>
      </c>
      <c r="J19" s="17" t="inlineStr">
        <is>
          <t>ECO-01</t>
        </is>
      </c>
      <c r="K19" s="17" t="inlineStr">
        <is>
          <t>DOC-C07-010;DOC-C07-009;DOC-C04-002;DOC-C07-002</t>
        </is>
      </c>
      <c r="L19" s="18" t="inlineStr">
        <is>
          <t>DOC-C07-010: “ID DATA-ADHD-PM-001 · Tipo Pesquisa — Matriz de evidências e implicações de produto · Owner Não determinado · Versão 1.0 · Data 19/08/2026”; “Next 01 Transformar a matriz abaixo em requisitos funcionais e princípios de design verificáveis.” | DOC-C04-002: “Câmera compacta por padrão (PRD-006/UX-004: velocidade de captura antes de prévia grande)” e “Offline (OQ-008 do FRD original do Scanner) segue fora de escopo, nunca implementado.”</t>
        </is>
      </c>
      <c r="M19" s="18" t="inlineStr">
        <is>
          <t>Falta o PRD propriamente dito. Os documentos citam PRD-006 e um FRD do Scanner que não estão entre os 214 arquivos — provavelmente vivem no repositório Sas-Executar/Sas-Executar ou no Drive, não no conjunto entregue.</t>
        </is>
      </c>
      <c r="N19" s="18" t="inlineStr">
        <is>
          <t>Localizar PRD-006 e o FRD do Scanner no repositório/Drive e incorporá-los ao registro documental, ou declará-los inexistentes e escrever o PRD a partir de DATA-ADHD-PM-001.</t>
        </is>
      </c>
    </row>
    <row r="20">
      <c r="A20" s="17" t="n">
        <v>2</v>
      </c>
      <c r="B20" s="17" t="inlineStr">
        <is>
          <t>PRODUTO</t>
        </is>
      </c>
      <c r="C20" s="17" t="inlineStr">
        <is>
          <t>2.3</t>
        </is>
      </c>
      <c r="D20" s="17" t="inlineStr">
        <is>
          <t>Objetivos (goals)</t>
        </is>
      </c>
      <c r="E20" s="17" t="inlineStr">
        <is>
          <t>formulario_original</t>
        </is>
      </c>
      <c r="F20" s="17" t="inlineStr">
        <is>
          <t>preenchido</t>
        </is>
      </c>
      <c r="G20" s="18" t="inlineStr">
        <is>
          <t>Objetivos por unidade. ECO-01 App: “transferir carga executiva evitável do operador para o sistema, preservando decisão e autonomia do usuário”; e “criar uma situação em que a execução do que foi planejado aconteça com o mínimo possível de carga administrativa e cognitiva”. ECO-03 Framework: “Investigar riscos cognitivos endógenos como vulnerabilidades capazes de aumentar a probabilidade de desvio entre intenção e execução”, com cinco componentes provisórios — Cognitive Risk Profile, Cognitive Demand Map, Cognitive Risk Register, Compensating Controls e Execution Evidence. ECO-02 Blog: “Publicar o artigo fundador e iniciar a campanha inaugural de 14 dias sem transformar a campanha em lançamento de produto”; objetivo SMART: “lançar Risco Cognitivo e validar interesse pela tese”. GTM 07/09 (transversal): 60h comprometidas + 12h de reserva em 12 dias produtivos (83% da capacidade), com tudo “produzido, integrado, configurado e agendado” até 05/09. ECO-05 Curso: quatro módulos Entender → Estruturar → Executar → Evoluir. ECO-02 site/CMS: autonomia editorial total, sem tocar em código.</t>
        </is>
      </c>
      <c r="H20" s="17" t="inlineStr">
        <is>
          <t>decisao</t>
        </is>
      </c>
      <c r="I20" s="17" t="inlineStr">
        <is>
          <t>alta</t>
        </is>
      </c>
      <c r="J20" s="17" t="inlineStr">
        <is>
          <t>TRANSVERSAL — objetivos distintos por unidade</t>
        </is>
      </c>
      <c r="K20" s="18" t="inlineStr">
        <is>
          <t>DOC-C07-002;DOC-C02-016;DOC-C02-014;DOC-C06-001;DOC-C09-013;DOC-C02-017</t>
        </is>
      </c>
      <c r="L20" s="18" t="inlineStr">
        <is>
          <t>DOC-C07-002 (Tese operacional): “transferir carga executiva evitável do operador para o sistema, preservando decisão e autonomia do usuário.” | DOC-C02-016 (PROPOSIÇÃO): “Investigar riscos cognitivos endógenos como vulnerabilidades capazes de aumentar a probabilidade de desvio entre intenção e execução”; COMPONENTES PROVISÓRIOS 1–5. | DOC-C02-014 (OBJETIVO): “Publicar o artigo fundador e iniciar a campanha inaugural de 14 dias sem transformar a campanha em lançamento de produto.” | DOC-C06-001: “recomendação: 60h comprometidas + 12h de reserva (83% da capacidade)”. | DOC-C09-013: “4 módulos: Entender → Estruturar → Executar → Evoluir.”</t>
        </is>
      </c>
      <c r="M20" s="17" t="n"/>
      <c r="N20" s="17" t="n"/>
    </row>
    <row r="21">
      <c r="A21" s="17" t="n">
        <v>2</v>
      </c>
      <c r="B21" s="17" t="inlineStr">
        <is>
          <t>PRODUTO</t>
        </is>
      </c>
      <c r="C21" s="17" t="inlineStr">
        <is>
          <t>2.4</t>
        </is>
      </c>
      <c r="D21" s="17" t="inlineStr">
        <is>
          <t>Não-objetivos (non-goals)</t>
        </is>
      </c>
      <c r="E21" s="17" t="inlineStr">
        <is>
          <t>formulario_original</t>
        </is>
      </c>
      <c r="F21" s="17" t="inlineStr">
        <is>
          <t>preenchido</t>
        </is>
      </c>
      <c r="G21" s="18" t="inlineStr">
        <is>
          <t>Não-objetivos explícitos e abundantes, por unidade. ECO-01: PROD-14 — “Bloquear usos do produto como diagnóstico, substituição profissional ou inferência clínica a partir de desempenho em tarefas”; CLAIM-01 proíbe “Reduz sintomas de TDAH”, “Melhora função executiva clinicamente”, “Trata TDAH”, “Diagnostica ou identifica TDAH”, “Substitui terapia, tratamento ou medicação” e “Cientificamente comprovado para TDAH”; POSITION-01 — “não como tratamento de TDAH”; EFFICACY-01 — “não iniciar com claim de redução de sintomas”. No código: “Offline (OQ-008) segue fora de escopo, nunca implementado”; e o primitivo concluirPorGestoHumano é “reservado DELIBERADAMENTE só para gesto humano direto — o Copiloto/IA continua passando por executarFerramenta”. Duas explorações de design foram registradas e deliberadamente NÃO adotadas: “Fractal Fluent” e “3PN + Good Path”. ECO-02: “O artigo não termina vendendo EXECUTAR”; “O CTA do D14 não deve vender EXECUTAR na campanha inaugural.” ECO-03: “Não reivindicar criação de ‘Cognitive Risk Management’”; não afirmar que “déficit de atenção” é termo abolido; não afirmar que pessoas neurotípicas não possuem riscos cognitivos. ECO-04: “Roupas — fora do escopo atual […] Não lançar agora”; “Não imobilizar estoque relevante antes de validar intenção.” ECO-07: tabela “Não é para” (quem busca tratamento de saúde, quem quer só uma dica rápida, projeto sem dono, escopo indefinido, grande transformação corporativa em sete dias); e “Eu não publicaria ‘consulta sem limite de tempo’ literalmente.” GTM 07/09: “Não é: Editar landing · Terminar vídeo · Produzir post · Cadastrar produto.”</t>
        </is>
      </c>
      <c r="H21" s="17" t="inlineStr">
        <is>
          <t>decisao</t>
        </is>
      </c>
      <c r="I21" s="17" t="inlineStr">
        <is>
          <t>alta</t>
        </is>
      </c>
      <c r="J21" s="17" t="inlineStr">
        <is>
          <t>TRANSVERSAL</t>
        </is>
      </c>
      <c r="K21" s="18" t="inlineStr">
        <is>
          <t>DOC-C07-009;DOC-C04-002;DOC-C02-043;DOC-C02-014;DOC-C02-016;DOC-C09-008;DOC-C05-001;DOC-C06-001</t>
        </is>
      </c>
      <c r="L21" s="18" t="inlineStr">
        <is>
          <t>DOC-C07-009 (PROD-14): “Bloquear usos do produto como diagnóstico, substituição profissional ou inferência clínica a partir de desempenho em tarefas”; (claims_policy.prohibited_now): lista literal dos seis claims. | DOC-C04-002 (item 4e): “Offline (OQ-008 do FRD original do Scanner) segue fora de escopo, nunca implementado.”; e “Duas explorações de design JÁ REGISTRADAS no ecossistema e DELIBERADAMENTE NÃO ADOTADAS aqui”. | DOC-C02-043: “O artigo não termina vendendo EXECUTAR.” | DOC-C02-016 (GUARDRAIL): “Não reivindicar criação de ‘Cognitive Risk Management’.” | DOC-C09-008 (Regra): “Não imobilizar estoque relevante antes de validar intenção.” | DOC-C06-001 (07/09): “Não é: Editar landing · Terminar vídeo · Produzir post · Cadastrar produto. Se isso estiver acontecendo em 07/09, o Freeze falhou.”</t>
        </is>
      </c>
      <c r="M21" s="17" t="n"/>
      <c r="N21" s="17" t="n"/>
    </row>
    <row r="22">
      <c r="A22" s="17" t="n">
        <v>2</v>
      </c>
      <c r="B22" s="17" t="inlineStr">
        <is>
          <t>PRODUTO</t>
        </is>
      </c>
      <c r="C22" s="17" t="inlineStr">
        <is>
          <t>2.5</t>
        </is>
      </c>
      <c r="D22" s="17" t="inlineStr">
        <is>
          <t>Requisitos funcionais (FRD)</t>
        </is>
      </c>
      <c r="E22" s="17" t="inlineStr">
        <is>
          <t>formulario_original</t>
        </is>
      </c>
      <c r="F22" s="17" t="inlineStr">
        <is>
          <t>preenchido</t>
        </is>
      </c>
      <c r="G22" s="18" t="inlineStr">
        <is>
          <t>Requisitos funcionais existem em dois níveis. (a) Componentes sistêmicos derivados da compensação (DOC-C05-001, item 16): “memória externa persistente, decomposição assistida, motor de prioridade, próxima ação, contexto persistente, throughput observado, sistema temporal, grafo de dependências, progresso automático, DoD e retomada de estado”; automações (item 18): “recalcular prioridades, filtrar elegibilidade, preservar contexto, atualizar progresso e selecionar a próxima ação”. Regras do motor: dependências, tempo, WIP e ciclo definem elegibilidade; Flow Score e Context Score ordenam as alternativas válidas; Progress Points registram somente trabalho efetivamente concluído. (b) Requisitos já implementados e verificáveis (DOC-C04-002): rota /scanner com reconhecimento de forma, sem QR, dos cinco símbolos administrativos entrada | copiloto | seletor | feito | saída; resolverPayloadScanner(payload); idempotencyKeyScanner com bucket de 10s contra duplo-scan acidental; Undo com janela de 8s restaurando o EstadoOperacional anterior via expectedRevision (concorrência otimista); rota /mapa-os com projetarMapaOS — projeção pura, “nenhum estado novo” — nos formatos prisma (A4 retrato) e tripé (A4 paisagem); primitivo concluirPorGestoHumano, que ignora requireDod, requireEvidence, requireHumanApproval e requireVerification mesmo sob POLITICA_CONCLUSAO_PADRAO, mas apenas para gesto humano direto e mantendo registro auditável no event log; toda mutação oficial passa por executarFerramenta, com idempotência e replay via run-ledger. (c) Requisitos de UX derivados das decisões PROD-05 e PROD-09…PROD-13: uma única próxima ação principal explícita; nos primeiros segundos mostrar estado atual, resultado necessário e próxima ação; persistir contexto e posição de execução para retomada; interromper apenas por evento crítico; exigir confirmação só em ações irreversíveis.</t>
        </is>
      </c>
      <c r="H22" s="17" t="inlineStr">
        <is>
          <t>fato_interno</t>
        </is>
      </c>
      <c r="I22" s="17" t="inlineStr">
        <is>
          <t>alta</t>
        </is>
      </c>
      <c r="J22" s="17" t="inlineStr">
        <is>
          <t>ECO-01</t>
        </is>
      </c>
      <c r="K22" s="17" t="inlineStr">
        <is>
          <t>DOC-C04-002;DOC-C05-001;DOC-C07-009;DOC-C11-006;DOC-C11-004</t>
        </is>
      </c>
      <c r="L22" s="18" t="inlineStr">
        <is>
          <t>DOC-C04-002: “idempotencyKeyScanner(organizationId, acao, alvo, nowMs) → bucket de 10s, evita duplo-scan acidental”; “Undo: janela de 8s, restaura o EstadoOperacional anterior via o mesmo endpoint de salvar estado com expectedRevision”; “concluirPorGestoHumano(tasks, state, taskId, nota) — Ignora TODAS as flags de PoliticaConclusao […] Reservado DELIBERADAMENTE só para gesto humano direto”. | DOC-C05-001 (item 16 Componentes sistêmicos): lista literal dos onze componentes. | DOC-C07-009 (PROD-09): “A interface deve tornar explícita uma única próxima ação principal e esconder complexidade secundária até ser necessária.”</t>
        </is>
      </c>
      <c r="M22" s="18" t="inlineStr">
        <is>
          <t>Não há FRD consolidado: os requisitos estão distribuídos entre handoff técnico, workbook e decisões. O Scanner mobile (Expo) só é validável em device físico e não foi testado além de typecheck/build.</t>
        </is>
      </c>
      <c r="N22" s="18" t="inlineStr">
        <is>
          <t>Consolidar os requisitos dispersos num FRD único e validar o Scanner mobile em device físico antes do lançamento.</t>
        </is>
      </c>
    </row>
    <row r="23">
      <c r="A23" s="17" t="n">
        <v>2</v>
      </c>
      <c r="B23" s="17" t="inlineStr">
        <is>
          <t>PRODUTO</t>
        </is>
      </c>
      <c r="C23" s="17" t="inlineStr">
        <is>
          <t>2.6</t>
        </is>
      </c>
      <c r="D23" s="17" t="inlineStr">
        <is>
          <t>Critérios de aceite</t>
        </is>
      </c>
      <c r="E23" s="17" t="inlineStr">
        <is>
          <t>formulario_original</t>
        </is>
      </c>
      <c r="F23" s="17" t="inlineStr">
        <is>
          <t>preenchido</t>
        </is>
      </c>
      <c r="G23" s="18" t="inlineStr">
        <is>
          <t>Critérios de aceite existem em cinco camadas. (a) DoD editorial do GTM: “texto aprovado + assets presentes + CTA funcional + brinde funcional + CMS carregado + SEO preenchido + links testados + publicação/agendamento confirmado + evidência registrada”, sobre a cadeia de pacote “conteúdo → assets → CTA → brinde → destino → CMS → distribuição → agendamento → tracking → evidência = DONE”. (b) Critérios de lançamento de 05/09 (dez itens): páginas críticas abrem em celular e computador; todas as chamadas chegam ao destino correto; formulários recebem respostas; ofertas digitais estão cadastradas; ligações de afiliado estão identificadas; peças editoriais publicadas ou agendadas; demonstrações acessíveis; materiais para redes agendados; medição básica funcionando; não existe entrega crítica aguardando produção. (c) DoD técnico verificado: typecheck limpo, bun run check limpo, 51/51 testes vitest, 347/347 testes de governança e 3/3 checks de CI verdes por PR. (d) DoD do site/CMS: “Abrir /admin → criar artigo → escrever/colar → categorizar → inserir imagem → preencher SEO → ver palavras/parágrafos → preview → publicar, sem editar código.” (e) Critério de conclusão do ECO-02: “Artigo 1.200–1.800 palavras publicado, landing disponível, CTA editorial funcionando e cronograma D1–D14 iniciado.” Princípio de produto que rege todos: “DONE deve ser uma transição verificável, não uma sensação de conclusão.”</t>
        </is>
      </c>
      <c r="H23" s="17" t="inlineStr">
        <is>
          <t>fato_interno</t>
        </is>
      </c>
      <c r="I23" s="17" t="inlineStr">
        <is>
          <t>alta</t>
        </is>
      </c>
      <c r="J23" s="17" t="inlineStr">
        <is>
          <t>TRANSVERSAL</t>
        </is>
      </c>
      <c r="K23" s="18" t="inlineStr">
        <is>
          <t>DOC-C06-001;DOC-C08-007;DOC-C04-002;DOC-C02-017;DOC-C02-014;DOC-C07-002;DOC-C10-010;DOC-C10-018;DOC-C10-026</t>
        </is>
      </c>
      <c r="L23" s="18" t="inlineStr">
        <is>
          <t>DOC-C06-001: “Definition of Done editorial: texto aprovado + assets presentes + CTA funcional + brinde funcional + CMS carregado + SEO preenchido + links testados + publicação/agendamento confirmado + evidência registrada.” | DOC-C08-007: lista literal dos dez critérios de congelamento de 05/09. | DOC-C04-002: “bun run --filter=app test (vitest) → 51/51 passando”; “node --test tests/ondas/*.test.mjs (governança) → 347/347 passando”. | DOC-C02-017 (DEFINITION OF DONE): “Abrir /admin → criar artigo → […] → publicar, sem editar código.” | DOC-C07-002 (GP-10, decisão de produto): “DONE deve ser uma transição verificável, não uma sensação de conclusão.” | DOC-C10-010/018/026: “Concluído quando: A peça está publicada ou programada, com materiais, chamada, destino e evidência registrados.”</t>
        </is>
      </c>
      <c r="M23" s="17" t="n"/>
      <c r="N23" s="17" t="n"/>
    </row>
    <row r="24">
      <c r="A24" s="17" t="n">
        <v>2</v>
      </c>
      <c r="B24" s="17" t="inlineStr">
        <is>
          <t>PRODUTO</t>
        </is>
      </c>
      <c r="C24" s="17" t="inlineStr">
        <is>
          <t>2.7</t>
        </is>
      </c>
      <c r="D24" s="17" t="inlineStr">
        <is>
          <t>Persona principal</t>
        </is>
      </c>
      <c r="E24" s="17" t="inlineStr">
        <is>
          <t>formulario_original</t>
        </is>
      </c>
      <c r="F24" s="17" t="inlineStr">
        <is>
          <t>parcial</t>
        </is>
      </c>
      <c r="G24" s="18" t="inlineStr">
        <is>
          <t>Não há artefato de persona (nome, cenário, objetivos, frustrações) em nenhum documento. O que existe são duas descrições de ICP em conflito — as mesmas do campo 1.2 — acrescidas de perspectivas em primeira pessoa que funcionam como matéria-prima de persona. Versão A (DOC-C05-001): “Homens, adultos, neurodivergentes, autônomos, na faixa dos 25–35 anos, recém-diagnosticados, que gerenciam múltiplos processos e projetos ao mesmo tempo […] já utilizaram e abandonaram outros aplicativos por não manterem o uso e rejeitam alta complexidade de configuração.” Versão B (DOC-C07-009, ICP-01): “profissional independente/solo brasileiro, aproximadamente 25–44 anos, multiprojeto, que perde contexto, tem dificuldade recorrente para escolher próxima ação, já tentou ferramentas de produtividade e controla/influencia a própria compra”, sem exigir diagnóstico. Persona do ECO-07 documentada em separado: “profissionais solo, autônomos e pequenos negócios com trabalho, informação, clientes e projetos dispersos”, com tabela “É para / Não é para”.</t>
        </is>
      </c>
      <c r="H24" s="17" t="inlineStr">
        <is>
          <t>hipotese</t>
        </is>
      </c>
      <c r="I24" s="17" t="inlineStr">
        <is>
          <t>media</t>
        </is>
      </c>
      <c r="J24" s="17" t="inlineStr">
        <is>
          <t>ECO-01 (com persona própria em ECO-07)</t>
        </is>
      </c>
      <c r="K24" s="17" t="inlineStr">
        <is>
          <t>DOC-C05-001;DOC-C07-009;DOC-C12-003</t>
        </is>
      </c>
      <c r="L24" s="18" t="inlineStr">
        <is>
          <t>DOC-C05-001 (Corpo, linha Público): texto integral da versão A, com a perspectiva do usuário “Quero começar o dia, semana, mês de trabalho executando as tarefas sem, ao mesmo tempo, me preocupar com a ordem e controle da progressão.” | DOC-C07-009 (ICP comercial a testar): texto integral da versão B, com “Decisão ICP-01: testar comportamento e problema primeiro; diagnóstico não define o ICP comercial inicial.” | DOC-C12-003: dez perguntas do formulário de entrada do Estúdio, que operacionalizam o perfil (como trabalha hoje, principal atrito, ferramentas atuais, dificuldade de retomada, relação com papel/físico).</t>
        </is>
      </c>
      <c r="M24" s="18" t="inlineStr">
        <is>
          <t>Falta a persona formalizada, e falta resolver o conflito de ICP (faixa etária 25–35 × 25–44, gênero, papel do diagnóstico). O artefato estaria num documento de pesquisa de usuário/persona — inexistente; e a própria decisão ICP-01 tem status DECIDED_FOR_TEST, isto é, hipótese a validar em recrutamento.</t>
        </is>
      </c>
      <c r="N24" s="18" t="inlineStr">
        <is>
          <t>Resolver o conflito de ICP e escrever uma persona única derivada da versão vencedora; ICP-01 já prevê “recrutar ICP comportamental e medir ativação, recorrência, pagamento e retenção”.</t>
        </is>
      </c>
    </row>
    <row r="25">
      <c r="A25" s="17" t="n">
        <v>2</v>
      </c>
      <c r="B25" s="17" t="inlineStr">
        <is>
          <t>PRODUTO</t>
        </is>
      </c>
      <c r="C25" s="17" t="inlineStr">
        <is>
          <t>2.8</t>
        </is>
      </c>
      <c r="D25" s="17" t="inlineStr">
        <is>
          <t>Jornada — Descoberta</t>
        </is>
      </c>
      <c r="E25" s="17" t="inlineStr">
        <is>
          <t>formulario_original</t>
        </is>
      </c>
      <c r="F25" s="17" t="inlineStr">
        <is>
          <t>parcial</t>
        </is>
      </c>
      <c r="G25" s="18" t="inlineStr">
        <is>
          <t>A jornada de descoberta está desenhada para os eixos editorial e de serviços, não para o app. Editorial (ECO-02): a descoberta é governada por níveis de consciência — “Não consciente → consciente do problema → consciente das soluções → consciente do método → pronto para agir” — com CTA correspondente por nível (“Baixa consciência: não empurre Produto; CTA ideal ‘Entenda o que está acontecendo’”; “Alta intenção: não empurre mais teoria; CTA ‘Experimentar Executar / conhecer Studio’”). O artigo canônico é a peça-mãe e cada peça segue a narrativa “CENA → PROBLEMA → MECANISMO → EVIDÊNCIA → MODELO → APLICAÇÃO → DEMONSTRAÇÃO → PRÓXIMO PASSO”. A campanha inaugural do ECO-02 vai de D1 (artigo + landing) a D14 (síntese + CTA editorial), com CTA “ler, explorar, assinar e baixar o Mapa de Risco Cognitivo” e o produto deliberadamente em segundo plano. Serviços (ECO-07): “Conteúdo → Showroom → Formulário visual → Encontro → Projeto”, com regra de showroom “Problema → entrada real → transformação → resultado → prova → CTA”. Porta de entrada de captação: brinde canônico BRINDE-001/GIFT-001, com cadeia “asset → capa → landing → formulário → confirmação → entrega/download → CTA → tracking → evidence”.</t>
        </is>
      </c>
      <c r="H25" s="17" t="inlineStr">
        <is>
          <t>decisao</t>
        </is>
      </c>
      <c r="I25" s="17" t="inlineStr">
        <is>
          <t>media</t>
        </is>
      </c>
      <c r="J25" s="18" t="inlineStr">
        <is>
          <t>ECO-02 e ECO-07 documentadas; ECO-01 sem jornada de descoberta própria</t>
        </is>
      </c>
      <c r="K25" s="18" t="inlineStr">
        <is>
          <t>DOC-C05-001;DOC-C02-043;DOC-C06-001;DOC-C10-029;DOC-C11-010;DOC-C12-004</t>
        </is>
      </c>
      <c r="L25" s="18" t="inlineStr">
        <is>
          <t>DOC-C05-001 (CTA por nível de consciência): “Baixa | não empurre Produto | CTA ideal Entenda o que está acontecendo”; “Alta intenção | não empurre Mais teoria | CTA Experimentar Executar / conhecer Studio.” | DOC-C05-001 (Showroom — regra geral): “Problema → entrada real → transformação → resultado → prova → CTA. Não faça vídeos ‘Veja meu agente incrível’.” | DOC-C02-043: “CTA inicial: ler, explorar, assinar e baixar o Mapa de Risco Cognitivo; o EXECUTAR fica para uma campanha posterior.” | DOC-C10-029: “asset → capa → landing → formulário → confirmação → entrega/download → CTA → tracking → evidence” (cadeia do brinde).</t>
        </is>
      </c>
      <c r="M25" s="18" t="inlineStr">
        <is>
          <t>Falta a jornada de descoberta específica do app: como um usuário chega ao EXECUTAR (loja de apps, landing, indicação) não está documentado. Os eventos acquisition_source e campaign_id existem como especificação de telemetria, sem mapa de jornada correspondente.</t>
        </is>
      </c>
      <c r="N25" s="18" t="inlineStr">
        <is>
          <t>Desenhar a jornada de descoberta do ECO-01 ligando os CTAs CH-001/CH-002 aos eventos acquisition_source e install_or_signup.</t>
        </is>
      </c>
    </row>
    <row r="26">
      <c r="A26" s="17" t="n">
        <v>2</v>
      </c>
      <c r="B26" s="17" t="inlineStr">
        <is>
          <t>PRODUTO</t>
        </is>
      </c>
      <c r="C26" s="17" t="inlineStr">
        <is>
          <t>2.9</t>
        </is>
      </c>
      <c r="D26" s="17" t="inlineStr">
        <is>
          <t>Jornada — Ativação</t>
        </is>
      </c>
      <c r="E26" s="17" t="inlineStr">
        <is>
          <t>formulario_original</t>
        </is>
      </c>
      <c r="F26" s="17" t="inlineStr">
        <is>
          <t>preenchido</t>
        </is>
      </c>
      <c r="G26" s="18" t="inlineStr">
        <is>
          <t>A ativação está definida com precisão no ECO-01 pelo VALUE_EVENT-01: “Projeto real → contexto interpretado → próxima ação válida → ação executada → conclusão/evidência registrada”. Os eventos de telemetria que a marcam são activated_at e first_value_at. As decisões que governam os primeiros minutos: PROD-12 — “Nos primeiros segundos, mostrar estado atual, resultado necessário e próxima ação — não o projeto inteiro”; PROD-09 — “A interface deve tornar explícita uma única próxima ação principal”; PROD-08 — “Usar perguntas de auto-observação e funcionamento cotidiano; proibir triagem diagnóstica baseada em um único teste, score ou tarefa do app”; PROD-05 — reduzir densidade simultânea de informação. Tecnicamente, o app é local-first (hidrata de localStorage via chaveOrganizacao + restaurarEstado), o que remove exigência de credenciais ou servidor para o primeiro uso. ECO-07 tem ativação própria: D0 formulário visual de 5 minutos → D1 conversa + desenho da solução ao vivo → D4 protótipo funcional → D6 entrega + onboarding.</t>
        </is>
      </c>
      <c r="H26" s="17" t="inlineStr">
        <is>
          <t>decisao</t>
        </is>
      </c>
      <c r="I26" s="17" t="inlineStr">
        <is>
          <t>media</t>
        </is>
      </c>
      <c r="J26" s="17" t="inlineStr">
        <is>
          <t>ECO-01 (com jornada de ativação própria em ECO-07)</t>
        </is>
      </c>
      <c r="K26" s="17" t="inlineStr">
        <is>
          <t>DOC-C07-009;DOC-C04-002;DOC-C05-001;DOC-C11-004</t>
        </is>
      </c>
      <c r="L26" s="18" t="inlineStr">
        <is>
          <t>DOC-C07-009 (telemetry): “value_event_01: Projeto real → contexto interpretado → próxima ação válida → ação executada → conclusão/evidência registrada”; required_events incluem “activated_at” e “first_value_at”. | DOC-C07-009 (PROD-12): “Nos primeiros segundos, mostrar estado atual, resultado necessário e próxima ação — não o projeto inteiro.” | DOC-C04-002: “App é local-first: EstadoOperacional hidrata de localStorage via chaveOrganizacao + restaurarEstado, sincroniza com servidor só opcionalmente.” | DOC-C05-001 (Jornada canônica do Studio): “D0 Formulário de 5 minutos… D6 Versão final — Entrega + onboarding.”</t>
        </is>
      </c>
      <c r="M26" s="18" t="inlineStr">
        <is>
          <t>O VALUE_EVENT-01 está definido, mas não instrumentado: não existe nenhuma taxa de ativação medida.</t>
        </is>
      </c>
      <c r="N26" s="18" t="inlineStr">
        <is>
          <t>Instrumentar activated_at e first_value_at e medir a taxa de conclusão do VALUE_EVENT-01 no piloto de ≥40 usuários previsto em PMF-01.</t>
        </is>
      </c>
    </row>
    <row r="27">
      <c r="A27" s="17" t="n">
        <v>2</v>
      </c>
      <c r="B27" s="17" t="inlineStr">
        <is>
          <t>PRODUTO</t>
        </is>
      </c>
      <c r="C27" s="17" t="inlineStr">
        <is>
          <t>2.10</t>
        </is>
      </c>
      <c r="D27" s="17" t="inlineStr">
        <is>
          <t>Jornada — Uso recorrente</t>
        </is>
      </c>
      <c r="E27" s="17" t="inlineStr">
        <is>
          <t>formulario_original</t>
        </is>
      </c>
      <c r="F27" s="17" t="inlineStr">
        <is>
          <t>parcial</t>
        </is>
      </c>
      <c r="G27" s="18" t="inlineStr">
        <is>
          <t>O uso recorrente é desenhado como uso deliberadamente baixo — e isso é assumido como hipótese, não como fato. Promessa: “uso mínimo do app — cerca de 1–2 vezes por semana”; princípio: “o usuário não estrutura, organiza ou prioriza; o usuário visualiza, acompanha e administra”. O Diferencial 03 registra explicitamente que “a superioridade específica do analógico e a frequência ideal de ‘1–2 vezes por semana’ permanecem hipóteses de produto/design, não resultados empiricamente demonstrados nos documentos”. O loop operacional recorrente está demonstrado pelo Agente 007: “/bomdia → reconstruir estado → mostrar trabalho atual” e a sequência “/bomdia → /agora → execução → evidência → /fechardia → /estado → replanejamento”. Métricas de recorrência especificadas: coortes W1/W2/W4/W8, execution_cycles_per_week, last_value_event_at e renewed_at. No plano físico, o Mapa-OS existe para sustentar o trabalho fora da tela: “Seu sistema de execução não precisa viver na tela para continuar sustentando o trabalho.” ECO-07 tem recorrência contratual própria: manutenção programada em 10/20/30 dias, com expansão tratada como novo projeto.</t>
        </is>
      </c>
      <c r="H27" s="17" t="inlineStr">
        <is>
          <t>hipotese</t>
        </is>
      </c>
      <c r="I27" s="17" t="inlineStr">
        <is>
          <t>media</t>
        </is>
      </c>
      <c r="J27" s="17" t="inlineStr">
        <is>
          <t>ECO-01 (com recorrência contratual própria em ECO-07)</t>
        </is>
      </c>
      <c r="K27" s="17" t="inlineStr">
        <is>
          <t>DOC-C05-001;DOC-C07-009;DOC-C11-006;DOC-C11-008</t>
        </is>
      </c>
      <c r="L27" s="18" t="inlineStr">
        <is>
          <t>DOC-C05-001 (Promessa principal): “Zero configuração, mínimo de personalização, uso mínimo do app — cerca de 1–2 vezes por semana — e externalização cognitiva”; (Diferencial 03): “a superioridade específica do analógico e a frequência ideal de ‘1–2 vezes por semana’ permanecem hipóteses de produto/design, não resultados empiricamente demonstrados nos documentos.” | DOC-C11-006 (Cena A): “/bomdia → reconstruir estado → mostrar trabalho atual.” | DOC-C07-009 (telemetry): “cohorts: W1, W2, W4, W8”; “execution_cycles_per_week”. | DOC-C11-008 (Mensagem): “O sistema pode sustentar o trabalho sem exigir permanência contínua na tela.”</t>
        </is>
      </c>
      <c r="M27" s="18" t="inlineStr">
        <is>
          <t>Falta qualquer dado de retenção observada: nenhuma coorte medida, nenhuma frequência real de uso, e o próprio churn de 10/15/20% é premissa. O dado nasceria das coortes W1/W2/W4/W8 do warehouse, ainda não populadas.</t>
        </is>
      </c>
      <c r="N27" s="18" t="inlineStr">
        <is>
          <t>Medir a frequência real de uso no piloto para confirmar ou falsear a hipótese de 1–2 vezes por semana, que hoje sustenta a promessa central do produto.</t>
        </is>
      </c>
    </row>
    <row r="28">
      <c r="A28" s="17" t="n">
        <v>2</v>
      </c>
      <c r="B28" s="17" t="inlineStr">
        <is>
          <t>PRODUTO</t>
        </is>
      </c>
      <c r="C28" s="17" t="inlineStr">
        <is>
          <t>2.11</t>
        </is>
      </c>
      <c r="D28" s="17" t="inlineStr">
        <is>
          <t>Momento 'aha'</t>
        </is>
      </c>
      <c r="E28" s="17" t="inlineStr">
        <is>
          <t>formulario_original</t>
        </is>
      </c>
      <c r="F28" s="17" t="inlineStr">
        <is>
          <t>parcial</t>
        </is>
      </c>
      <c r="G28" s="18" t="inlineStr">
        <is>
          <t>Nenhum documento usa a expressão “momento aha”. O equivalente funcional canônico é o VALUE_EVENT-01 — “Projeto real → contexto interpretado → próxima ação válida → ação executada → conclusão/evidência registrada” —, definido como o evento que caracteriza valor entregue e que governa o gate de PMF. As cenas de demonstração que materializam esse momento são: Cena A do app — “‘Tenho 30 minutos.’ Mostrar o sistema reduzindo um projeto complexo à próxima ação possível”; Cena B — “Alterar uma condição do dia e mostrar plano preservado + rota recalculada”; e o loop do Agente 007 — “/bomdia → reconstruir estado → mostrar trabalho atual”. A frase de posicionamento que descreve o momento: “Você não precisa reorganizar o projeto toda vez que o dia muda. O sistema recalcula a rota e mostra o próximo passo possível.” A mensagem correspondente é “O plano continua. A rota se adapta. Você executa.”</t>
        </is>
      </c>
      <c r="H28" s="17" t="inlineStr">
        <is>
          <t>inferencia</t>
        </is>
      </c>
      <c r="I28" s="17" t="inlineStr">
        <is>
          <t>media</t>
        </is>
      </c>
      <c r="J28" s="17" t="inlineStr">
        <is>
          <t>ECO-01</t>
        </is>
      </c>
      <c r="K28" s="17" t="inlineStr">
        <is>
          <t>DOC-C07-009;DOC-C11-004;DOC-C11-006;DOC-C05-001</t>
        </is>
      </c>
      <c r="L28" s="18" t="inlineStr">
        <is>
          <t>DOC-C07-009 (telemetry.value_event_01): cadeia literal de cinco etapas. | DOC-C11-004 (Cena A): “‘Tenho 30 minutos.’ Mostrar o sistema reduzindo um projeto complexo à próxima ação possível”; (Cena B): “Alterar uma condição do dia e mostrar plano preservado + rota recalculada.” | DOC-C05-001 (Frase de posicionamento 01 e Mensagem 01): “Você não precisa reorganizar o projeto toda vez que o dia muda. O sistema recalcula a rota e mostra o próximo passo possível.” / “O plano continua. A rota se adapta. Você executa.”</t>
        </is>
      </c>
      <c r="M28" s="18" t="inlineStr">
        <is>
          <t>Falta nomear e medir o momento aha: não há definição de qual etapa exata do VALUE_EVENT-01 produz o reconhecimento de valor, nem tempo-alvo para alcançá-lo — o endpoint time_to_next_action existe, mas sem meta.</t>
        </is>
      </c>
      <c r="N28" s="18" t="inlineStr">
        <is>
          <t>Adotar “primeira próxima ação válida executada em menos de X minutos” como definição operacional do momento aha e fixar X após observar time_to_next_action no piloto.</t>
        </is>
      </c>
    </row>
    <row r="29">
      <c r="A29" s="17" t="n">
        <v>2</v>
      </c>
      <c r="B29" s="17" t="inlineStr">
        <is>
          <t>PRODUTO</t>
        </is>
      </c>
      <c r="C29" s="17" t="inlineStr">
        <is>
          <t>2.12</t>
        </is>
      </c>
      <c r="D29" s="17" t="inlineStr">
        <is>
          <t>User story de referência</t>
        </is>
      </c>
      <c r="E29" s="17" t="inlineStr">
        <is>
          <t>formulario_original</t>
        </is>
      </c>
      <c r="F29" s="17" t="inlineStr">
        <is>
          <t>parcial</t>
        </is>
      </c>
      <c r="G29" s="18" t="inlineStr">
        <is>
          <t>Não existe user story em formato canônico (“Como &lt;persona&gt;, quero &lt;ação&gt;, para &lt;benefício&gt;”) em nenhum dos documentos lidos — a busca por “user story” e por padrões “Como … quero …” nos 214 arquivos não retorna ocorrências. O que existe são três declarações em primeira pessoa registradas como “Perspectiva do usuário” no workbook, que cumprem a mesma função. (1) Público: “Quero começar o dia, semana, mês de trabalho executando as tarefas sem, ao mesmo tempo, me preocupar com a ordem e controle da progressão.” (2) Problema: “Perco dinheiro e oportunidades por atrasos e desorganização. Quando consigo terminar aquilo que foi planejado, o custo emocional e cognitivo é tão alto que não faço mais nada. O momento de maior ansiedade e aflição são os primeiros 30 minutos iniciais, pois não sei onde estava ontem, o que devo fazer agora e como sei que terminei.” (3) Categoria: “Esse app me entende e foi desenhado para mim e organiza tudo para mim de forma confiável e com metodologias válidas.” A declaração (2) é a mais utilizável como story de referência porque nomeia gatilho (retomada), momento (primeiros 30 minutos) e as três perguntas do usuário — onde parei, o que faço agora, como sei que terminei — que mapeiam diretamente nos requisitos de contexto persistente, próxima ação e DoD verificável.</t>
        </is>
      </c>
      <c r="H29" s="17" t="inlineStr">
        <is>
          <t>fato_interno</t>
        </is>
      </c>
      <c r="I29" s="17" t="inlineStr">
        <is>
          <t>media</t>
        </is>
      </c>
      <c r="J29" s="17" t="inlineStr">
        <is>
          <t>ECO-01</t>
        </is>
      </c>
      <c r="K29" s="17" t="inlineStr">
        <is>
          <t>DOC-C05-001;DOC-C11-004</t>
        </is>
      </c>
      <c r="L29" s="18" t="inlineStr">
        <is>
          <t>DOC-C05-001 (Corpo, linha Problema, Perspectiva do usuário): “Perco dinheiro e oportunidades por atrasos e desorganização. […] O momento de maior ansiedade e aflição são os primeiros 30 minutos iniciais, pois não sei onde estava ontem, o que devo fazer agora e como sei que terminei.” | DOC-C05-001 (Corpo, linha Público): “Quero começar o dia, semana, mês de trabalho executando as tarefas sem, ao mesmo tempo, me preocupar com a ordem e controle da progressão.” | DOC-C11-004 (Cena A): “‘Tenho 30 minutos.’”</t>
        </is>
      </c>
      <c r="M29" s="18" t="inlineStr">
        <is>
          <t>Falta a user story formal com critérios de aceite acoplados. O artefato estaria num backlog ou PRD — inexistentes no corpus.</t>
        </is>
      </c>
      <c r="N29" s="18" t="inlineStr">
        <is>
          <t>Converter a perspectiva dos “primeiros 30 minutos” em user story formal, com critérios de aceite ligados a retomada de contexto, próxima ação e DoD verificável.</t>
        </is>
      </c>
    </row>
    <row r="30">
      <c r="A30" s="17" t="n">
        <v>2</v>
      </c>
      <c r="B30" s="17" t="inlineStr">
        <is>
          <t>PRODUTO</t>
        </is>
      </c>
      <c r="C30" s="17" t="inlineStr">
        <is>
          <t>2.13</t>
        </is>
      </c>
      <c r="D30" s="17" t="inlineStr">
        <is>
          <t>Exploração de problema (pré-PRD)</t>
        </is>
      </c>
      <c r="E30" s="17" t="inlineStr">
        <is>
          <t>enriquecido_via_plugin</t>
        </is>
      </c>
      <c r="F30" s="17" t="inlineStr">
        <is>
          <t>preenchido</t>
        </is>
      </c>
      <c r="G30" s="18" t="inlineStr">
        <is>
          <t>A exploração de problema pré-PRD é a parte mais desenvolvida de toda a Área 2, e existe em quatro artefatos. (a) DATA-ADHD-PM-001 — matriz GP-01…GP-11: para cada função de gestão de projetos, mapeia capacidade exigida → vulnerabilidade associada → classe de evidência (B/C/E) → impacto operacional → compensação sistêmica → decisão de produto, com fonte clínica e científica por linha. (b) Os 28 pontos reorganizados como cadeia progressiva “fundamento → problema humano → efeito → compensação → sistema → produto → validação”. (c) Framework de 694 perguntas com cobertura analítica: 248 RAW, 116 knowledge, 161 evidence candidates, 0 strict VERIFIED, 28 vínculos diretos candidatos, 484 vínculos temáticos, 182 perguntas sem evidência — do qual derivam as 22 decisões operacionais. (d) Mapa de pesquisa e prior art do ECO-03: o que já existe, whitespace provisório, guardrail e seis strings de busca sugeridas (A a F). O corpus separa explicitamente evidência publicada de inferência, com o invariante “original ≠ extração ≠ evidência ≠ decisão”.</t>
        </is>
      </c>
      <c r="H30" s="17" t="inlineStr">
        <is>
          <t>fato_interno</t>
        </is>
      </c>
      <c r="I30" s="17" t="inlineStr">
        <is>
          <t>alta</t>
        </is>
      </c>
      <c r="J30" s="17" t="inlineStr">
        <is>
          <t>TRANSVERSAL — ECO-01 e ECO-03</t>
        </is>
      </c>
      <c r="K30" s="18" t="inlineStr">
        <is>
          <t>DOC-C07-010;DOC-C07-002;DOC-C07-003;DOC-C05-001;DOC-C07-009;DOC-C02-031;DOC-C01-005</t>
        </is>
      </c>
      <c r="L30" s="18" t="inlineStr">
        <is>
          <t>DOC-C07-010 (3P+N): “Progresso — A hipótese central é parcialmente sustentada: há convergência forte para organização, planejamento, gestão temporal, atenção sustentada e conclusão; evidência moderada para memória prospectiva, flexibilidade e metacognição”; “Next 01 Transformar a matriz abaixo em requisitos funcionais e princípios de design verificáveis.” | DOC-C07-002 e DOC-C07-003: 11 linhas GP-01…GP-11 com colunas Função de gestão · Capacidade exigida · Vulnerabilidade associada · Evidência · Impacto operacional · Compensação sistêmica · Decisão de produto/design. | DOC-C07-009 (kpis): “questions_694: 694 · candidate_direct_links: 28 · thematic_links: 484 · no_evidence: 182 · operational_decisions: 22 · strict_verified: 0.” | DOC-C02-031 (item 3, WHITESPACE PROVISÓRIO): “perfil executivo individual → demanda cognitiva da tarefa → evento provável de falha → probabilidade/impacto → controle compensatório → evidência de execução.”</t>
        </is>
      </c>
      <c r="M30" s="18" t="inlineStr">
        <is>
          <t>182 das 694 perguntas continuam sem evidência e o gate estrito registra 0 VERIFIED — a exploração é ampla, mas nenhum vínculo está formalmente verificado.</t>
        </is>
      </c>
      <c r="N30" s="18" t="inlineStr">
        <is>
          <t>Fechar o gate factual pelo menos das evidências que sustentam as 15 decisões PROD-01…PROD-15, hoje todas classificadas como DECISION_DERIVED_FROM_CANDIDATE_EVIDENCE.</t>
        </is>
      </c>
    </row>
    <row r="31">
      <c r="A31" s="17" t="n">
        <v>3</v>
      </c>
      <c r="B31" s="17" t="inlineStr">
        <is>
          <t>ARQUITETURA &amp; FULL STACK</t>
        </is>
      </c>
      <c r="C31" s="17" t="inlineStr">
        <is>
          <t>3.1</t>
        </is>
      </c>
      <c r="D31" s="17" t="inlineStr">
        <is>
          <t>Stack — Frontend</t>
        </is>
      </c>
      <c r="E31" s="17" t="inlineStr">
        <is>
          <t>formulario_original</t>
        </is>
      </c>
      <c r="F31" s="17" t="inlineStr">
        <is>
          <t>pendente</t>
        </is>
      </c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>
      <c r="A32" s="17" t="n">
        <v>3</v>
      </c>
      <c r="B32" s="17" t="inlineStr">
        <is>
          <t>ARQUITETURA &amp; FULL STACK</t>
        </is>
      </c>
      <c r="C32" s="17" t="inlineStr">
        <is>
          <t>3.2</t>
        </is>
      </c>
      <c r="D32" s="17" t="inlineStr">
        <is>
          <t>Stack — Backend</t>
        </is>
      </c>
      <c r="E32" s="17" t="inlineStr">
        <is>
          <t>formulario_original</t>
        </is>
      </c>
      <c r="F32" s="17" t="inlineStr">
        <is>
          <t>pendente</t>
        </is>
      </c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7" t="n">
        <v>3</v>
      </c>
      <c r="B33" s="17" t="inlineStr">
        <is>
          <t>ARQUITETURA &amp; FULL STACK</t>
        </is>
      </c>
      <c r="C33" s="17" t="inlineStr">
        <is>
          <t>3.3</t>
        </is>
      </c>
      <c r="D33" s="17" t="inlineStr">
        <is>
          <t>Banco de dados</t>
        </is>
      </c>
      <c r="E33" s="17" t="inlineStr">
        <is>
          <t>formulario_original</t>
        </is>
      </c>
      <c r="F33" s="17" t="inlineStr">
        <is>
          <t>pendente</t>
        </is>
      </c>
      <c r="G33" s="17" t="n"/>
      <c r="H33" s="17" t="n"/>
      <c r="I33" s="17" t="n"/>
      <c r="J33" s="17" t="n"/>
      <c r="K33" s="17" t="n"/>
      <c r="L33" s="17" t="n"/>
      <c r="M33" s="17" t="n"/>
      <c r="N33" s="17" t="n"/>
    </row>
    <row r="34">
      <c r="A34" s="17" t="n">
        <v>3</v>
      </c>
      <c r="B34" s="17" t="inlineStr">
        <is>
          <t>ARQUITETURA &amp; FULL STACK</t>
        </is>
      </c>
      <c r="C34" s="17" t="inlineStr">
        <is>
          <t>3.4</t>
        </is>
      </c>
      <c r="D34" s="17" t="inlineStr">
        <is>
          <t>Infraestrutura / hosting</t>
        </is>
      </c>
      <c r="E34" s="17" t="inlineStr">
        <is>
          <t>formulario_original</t>
        </is>
      </c>
      <c r="F34" s="17" t="inlineStr">
        <is>
          <t>pendente</t>
        </is>
      </c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s="17" t="n">
        <v>3</v>
      </c>
      <c r="B35" s="17" t="inlineStr">
        <is>
          <t>ARQUITETURA &amp; FULL STACK</t>
        </is>
      </c>
      <c r="C35" s="17" t="inlineStr">
        <is>
          <t>3.5</t>
        </is>
      </c>
      <c r="D35" s="17" t="inlineStr">
        <is>
          <t>Autenticação</t>
        </is>
      </c>
      <c r="E35" s="17" t="inlineStr">
        <is>
          <t>formulario_original</t>
        </is>
      </c>
      <c r="F35" s="17" t="inlineStr">
        <is>
          <t>pendente</t>
        </is>
      </c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>
      <c r="A36" s="17" t="n">
        <v>3</v>
      </c>
      <c r="B36" s="17" t="inlineStr">
        <is>
          <t>ARQUITETURA &amp; FULL STACK</t>
        </is>
      </c>
      <c r="C36" s="17" t="inlineStr">
        <is>
          <t>3.6</t>
        </is>
      </c>
      <c r="D36" s="17" t="inlineStr">
        <is>
          <t>Estrutura de repositório</t>
        </is>
      </c>
      <c r="E36" s="17" t="inlineStr">
        <is>
          <t>formulario_original</t>
        </is>
      </c>
      <c r="F36" s="17" t="inlineStr">
        <is>
          <t>pendente</t>
        </is>
      </c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>
      <c r="A37" s="17" t="n">
        <v>3</v>
      </c>
      <c r="B37" s="17" t="inlineStr">
        <is>
          <t>ARQUITETURA &amp; FULL STACK</t>
        </is>
      </c>
      <c r="C37" s="17" t="inlineStr">
        <is>
          <t>3.7</t>
        </is>
      </c>
      <c r="D37" s="17" t="inlineStr">
        <is>
          <t>Mapa de rotas principais</t>
        </is>
      </c>
      <c r="E37" s="17" t="inlineStr">
        <is>
          <t>formulario_original</t>
        </is>
      </c>
      <c r="F37" s="17" t="inlineStr">
        <is>
          <t>pendente</t>
        </is>
      </c>
      <c r="G37" s="17" t="n"/>
      <c r="H37" s="17" t="n"/>
      <c r="I37" s="17" t="n"/>
      <c r="J37" s="17" t="n"/>
      <c r="K37" s="17" t="n"/>
      <c r="L37" s="17" t="n"/>
      <c r="M37" s="17" t="n"/>
      <c r="N37" s="17" t="n"/>
    </row>
    <row r="38">
      <c r="A38" s="17" t="n">
        <v>3</v>
      </c>
      <c r="B38" s="17" t="inlineStr">
        <is>
          <t>ARQUITETURA &amp; FULL STACK</t>
        </is>
      </c>
      <c r="C38" s="17" t="inlineStr">
        <is>
          <t>3.8</t>
        </is>
      </c>
      <c r="D38" s="17" t="inlineStr">
        <is>
          <t>Decisão de arquitetura #1 (ADR)</t>
        </is>
      </c>
      <c r="E38" s="17" t="inlineStr">
        <is>
          <t>formulario_original</t>
        </is>
      </c>
      <c r="F38" s="17" t="inlineStr">
        <is>
          <t>pendente</t>
        </is>
      </c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>
      <c r="A39" s="17" t="n">
        <v>3</v>
      </c>
      <c r="B39" s="17" t="inlineStr">
        <is>
          <t>ARQUITETURA &amp; FULL STACK</t>
        </is>
      </c>
      <c r="C39" s="17" t="inlineStr">
        <is>
          <t>3.9</t>
        </is>
      </c>
      <c r="D39" s="17" t="inlineStr">
        <is>
          <t>Decisão de arquitetura #2 (ADR)</t>
        </is>
      </c>
      <c r="E39" s="17" t="inlineStr">
        <is>
          <t>formulario_original</t>
        </is>
      </c>
      <c r="F39" s="17" t="inlineStr">
        <is>
          <t>pendente</t>
        </is>
      </c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17" t="n">
        <v>3</v>
      </c>
      <c r="B40" s="17" t="inlineStr">
        <is>
          <t>ARQUITETURA &amp; FULL STACK</t>
        </is>
      </c>
      <c r="C40" s="17" t="inlineStr">
        <is>
          <t>3.10</t>
        </is>
      </c>
      <c r="D40" s="17" t="inlineStr">
        <is>
          <t>Trade-offs aceitos</t>
        </is>
      </c>
      <c r="E40" s="17" t="inlineStr">
        <is>
          <t>formulario_original</t>
        </is>
      </c>
      <c r="F40" s="17" t="inlineStr">
        <is>
          <t>pendente</t>
        </is>
      </c>
      <c r="G40" s="17" t="n"/>
      <c r="H40" s="17" t="n"/>
      <c r="I40" s="17" t="n"/>
      <c r="J40" s="17" t="n"/>
      <c r="K40" s="17" t="n"/>
      <c r="L40" s="17" t="n"/>
      <c r="M40" s="17" t="n"/>
      <c r="N40" s="17" t="n"/>
    </row>
    <row r="41">
      <c r="A41" s="17" t="n">
        <v>3</v>
      </c>
      <c r="B41" s="17" t="inlineStr">
        <is>
          <t>ARQUITETURA &amp; FULL STACK</t>
        </is>
      </c>
      <c r="C41" s="17" t="inlineStr">
        <is>
          <t>3.11</t>
        </is>
      </c>
      <c r="D41" s="17" t="inlineStr">
        <is>
          <t>Dívida técnica conhecida</t>
        </is>
      </c>
      <c r="E41" s="17" t="inlineStr">
        <is>
          <t>enriquecido_via_plugin</t>
        </is>
      </c>
      <c r="F41" s="17" t="inlineStr">
        <is>
          <t>pendente</t>
        </is>
      </c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>
      <c r="A42" s="17" t="n">
        <v>4</v>
      </c>
      <c r="B42" s="17" t="inlineStr">
        <is>
          <t>IMPLEMENTAÇÃO</t>
        </is>
      </c>
      <c r="C42" s="17" t="inlineStr">
        <is>
          <t>4.1</t>
        </is>
      </c>
      <c r="D42" s="17" t="inlineStr">
        <is>
          <t>Modelo de dados / schema</t>
        </is>
      </c>
      <c r="E42" s="17" t="inlineStr">
        <is>
          <t>formulario_original</t>
        </is>
      </c>
      <c r="F42" s="17" t="inlineStr">
        <is>
          <t>pendente</t>
        </is>
      </c>
      <c r="G42" s="17" t="n"/>
      <c r="H42" s="17" t="n"/>
      <c r="I42" s="17" t="n"/>
      <c r="J42" s="17" t="n"/>
      <c r="K42" s="17" t="n"/>
      <c r="L42" s="17" t="n"/>
      <c r="M42" s="17" t="n"/>
      <c r="N42" s="17" t="n"/>
    </row>
    <row r="43">
      <c r="A43" s="17" t="n">
        <v>4</v>
      </c>
      <c r="B43" s="17" t="inlineStr">
        <is>
          <t>IMPLEMENTAÇÃO</t>
        </is>
      </c>
      <c r="C43" s="17" t="inlineStr">
        <is>
          <t>4.2</t>
        </is>
      </c>
      <c r="D43" s="17" t="inlineStr">
        <is>
          <t>Endpoints de API principais</t>
        </is>
      </c>
      <c r="E43" s="17" t="inlineStr">
        <is>
          <t>formulario_original</t>
        </is>
      </c>
      <c r="F43" s="17" t="inlineStr">
        <is>
          <t>pendente</t>
        </is>
      </c>
      <c r="G43" s="17" t="n"/>
      <c r="H43" s="17" t="n"/>
      <c r="I43" s="17" t="n"/>
      <c r="J43" s="17" t="n"/>
      <c r="K43" s="17" t="n"/>
      <c r="L43" s="17" t="n"/>
      <c r="M43" s="17" t="n"/>
      <c r="N43" s="17" t="n"/>
    </row>
    <row r="44">
      <c r="A44" s="17" t="n">
        <v>4</v>
      </c>
      <c r="B44" s="17" t="inlineStr">
        <is>
          <t>IMPLEMENTAÇÃO</t>
        </is>
      </c>
      <c r="C44" s="17" t="inlineStr">
        <is>
          <t>4.3</t>
        </is>
      </c>
      <c r="D44" s="17" t="inlineStr">
        <is>
          <t>Agentes/Tools MCP integrados</t>
        </is>
      </c>
      <c r="E44" s="17" t="inlineStr">
        <is>
          <t>formulario_original</t>
        </is>
      </c>
      <c r="F44" s="17" t="inlineStr">
        <is>
          <t>pendente</t>
        </is>
      </c>
      <c r="G44" s="17" t="n"/>
      <c r="H44" s="17" t="n"/>
      <c r="I44" s="17" t="n"/>
      <c r="J44" s="17" t="n"/>
      <c r="K44" s="17" t="n"/>
      <c r="L44" s="17" t="n"/>
      <c r="M44" s="17" t="n"/>
      <c r="N44" s="17" t="n"/>
    </row>
    <row r="45">
      <c r="A45" s="17" t="n">
        <v>4</v>
      </c>
      <c r="B45" s="17" t="inlineStr">
        <is>
          <t>IMPLEMENTAÇÃO</t>
        </is>
      </c>
      <c r="C45" s="17" t="inlineStr">
        <is>
          <t>4.4</t>
        </is>
      </c>
      <c r="D45" s="17" t="inlineStr">
        <is>
          <t>Dependências núcleo (obrigatórias)</t>
        </is>
      </c>
      <c r="E45" s="17" t="inlineStr">
        <is>
          <t>formulario_original</t>
        </is>
      </c>
      <c r="F45" s="17" t="inlineStr">
        <is>
          <t>pendente</t>
        </is>
      </c>
      <c r="G45" s="17" t="n"/>
      <c r="H45" s="17" t="n"/>
      <c r="I45" s="17" t="n"/>
      <c r="J45" s="17" t="n"/>
      <c r="K45" s="17" t="n"/>
      <c r="L45" s="17" t="n"/>
      <c r="M45" s="17" t="n"/>
      <c r="N45" s="17" t="n"/>
    </row>
    <row r="46">
      <c r="A46" s="17" t="n">
        <v>4</v>
      </c>
      <c r="B46" s="17" t="inlineStr">
        <is>
          <t>IMPLEMENTAÇÃO</t>
        </is>
      </c>
      <c r="C46" s="17" t="inlineStr">
        <is>
          <t>4.5</t>
        </is>
      </c>
      <c r="D46" s="17" t="inlineStr">
        <is>
          <t>Dependências condicionais</t>
        </is>
      </c>
      <c r="E46" s="17" t="inlineStr">
        <is>
          <t>formulario_original</t>
        </is>
      </c>
      <c r="F46" s="17" t="inlineStr">
        <is>
          <t>pendente</t>
        </is>
      </c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>
      <c r="A47" s="17" t="n">
        <v>4</v>
      </c>
      <c r="B47" s="17" t="inlineStr">
        <is>
          <t>IMPLEMENTAÇÃO</t>
        </is>
      </c>
      <c r="C47" s="17" t="inlineStr">
        <is>
          <t>4.6</t>
        </is>
      </c>
      <c r="D47" s="17" t="inlineStr">
        <is>
          <t>Política de atualização de dependências</t>
        </is>
      </c>
      <c r="E47" s="17" t="inlineStr">
        <is>
          <t>formulario_original</t>
        </is>
      </c>
      <c r="F47" s="17" t="inlineStr">
        <is>
          <t>pendente</t>
        </is>
      </c>
      <c r="G47" s="17" t="n"/>
      <c r="H47" s="17" t="n"/>
      <c r="I47" s="17" t="n"/>
      <c r="J47" s="17" t="n"/>
      <c r="K47" s="17" t="n"/>
      <c r="L47" s="17" t="n"/>
      <c r="M47" s="17" t="n"/>
      <c r="N47" s="17" t="n"/>
    </row>
    <row r="48">
      <c r="A48" s="17" t="n">
        <v>4</v>
      </c>
      <c r="B48" s="17" t="inlineStr">
        <is>
          <t>IMPLEMENTAÇÃO</t>
        </is>
      </c>
      <c r="C48" s="17" t="inlineStr">
        <is>
          <t>4.7</t>
        </is>
      </c>
      <c r="D48" s="17" t="inlineStr">
        <is>
          <t>Componente frontend principal</t>
        </is>
      </c>
      <c r="E48" s="17" t="inlineStr">
        <is>
          <t>formulario_original</t>
        </is>
      </c>
      <c r="F48" s="17" t="inlineStr">
        <is>
          <t>pendente</t>
        </is>
      </c>
      <c r="G48" s="17" t="n"/>
      <c r="H48" s="17" t="n"/>
      <c r="I48" s="17" t="n"/>
      <c r="J48" s="17" t="n"/>
      <c r="K48" s="17" t="n"/>
      <c r="L48" s="17" t="n"/>
      <c r="M48" s="17" t="n"/>
      <c r="N48" s="17" t="n"/>
    </row>
    <row r="49">
      <c r="A49" s="17" t="n">
        <v>4</v>
      </c>
      <c r="B49" s="17" t="inlineStr">
        <is>
          <t>IMPLEMENTAÇÃO</t>
        </is>
      </c>
      <c r="C49" s="17" t="inlineStr">
        <is>
          <t>4.8</t>
        </is>
      </c>
      <c r="D49" s="17" t="inlineStr">
        <is>
          <t>Testes automatizados</t>
        </is>
      </c>
      <c r="E49" s="17" t="inlineStr">
        <is>
          <t>formulario_original</t>
        </is>
      </c>
      <c r="F49" s="17" t="inlineStr">
        <is>
          <t>pendente</t>
        </is>
      </c>
      <c r="G49" s="17" t="n"/>
      <c r="H49" s="17" t="n"/>
      <c r="I49" s="17" t="n"/>
      <c r="J49" s="17" t="n"/>
      <c r="K49" s="17" t="n"/>
      <c r="L49" s="17" t="n"/>
      <c r="M49" s="17" t="n"/>
      <c r="N49" s="17" t="n"/>
    </row>
    <row r="50">
      <c r="A50" s="17" t="n">
        <v>4</v>
      </c>
      <c r="B50" s="17" t="inlineStr">
        <is>
          <t>IMPLEMENTAÇÃO</t>
        </is>
      </c>
      <c r="C50" s="17" t="inlineStr">
        <is>
          <t>4.9</t>
        </is>
      </c>
      <c r="D50" s="17" t="inlineStr">
        <is>
          <t>Estratégia de testes</t>
        </is>
      </c>
      <c r="E50" s="17" t="inlineStr">
        <is>
          <t>enriquecido_via_plugin</t>
        </is>
      </c>
      <c r="F50" s="17" t="inlineStr">
        <is>
          <t>pendente</t>
        </is>
      </c>
      <c r="G50" s="17" t="n"/>
      <c r="H50" s="17" t="n"/>
      <c r="I50" s="17" t="n"/>
      <c r="J50" s="17" t="n"/>
      <c r="K50" s="17" t="n"/>
      <c r="L50" s="17" t="n"/>
      <c r="M50" s="17" t="n"/>
      <c r="N50" s="17" t="n"/>
    </row>
    <row r="51">
      <c r="A51" s="17" t="n">
        <v>5</v>
      </c>
      <c r="B51" s="17" t="inlineStr">
        <is>
          <t>OPERAÇÃO (DEPLOY &amp; ROLLBACK)</t>
        </is>
      </c>
      <c r="C51" s="17" t="inlineStr">
        <is>
          <t>5.1</t>
        </is>
      </c>
      <c r="D51" s="17" t="inlineStr">
        <is>
          <t>Checklist pré-deploy</t>
        </is>
      </c>
      <c r="E51" s="17" t="inlineStr">
        <is>
          <t>formulario_original</t>
        </is>
      </c>
      <c r="F51" s="17" t="inlineStr">
        <is>
          <t>pendente</t>
        </is>
      </c>
      <c r="G51" s="17" t="n"/>
      <c r="H51" s="17" t="n"/>
      <c r="I51" s="17" t="n"/>
      <c r="J51" s="17" t="n"/>
      <c r="K51" s="17" t="n"/>
      <c r="L51" s="17" t="n"/>
      <c r="M51" s="17" t="n"/>
      <c r="N51" s="17" t="n"/>
    </row>
    <row r="52">
      <c r="A52" s="17" t="n">
        <v>5</v>
      </c>
      <c r="B52" s="17" t="inlineStr">
        <is>
          <t>OPERAÇÃO (DEPLOY &amp; ROLLBACK)</t>
        </is>
      </c>
      <c r="C52" s="17" t="inlineStr">
        <is>
          <t>5.2</t>
        </is>
      </c>
      <c r="D52" s="17" t="inlineStr">
        <is>
          <t>Checks de saúde pós-deploy</t>
        </is>
      </c>
      <c r="E52" s="17" t="inlineStr">
        <is>
          <t>formulario_original</t>
        </is>
      </c>
      <c r="F52" s="17" t="inlineStr">
        <is>
          <t>pendente</t>
        </is>
      </c>
      <c r="G52" s="17" t="n"/>
      <c r="H52" s="17" t="n"/>
      <c r="I52" s="17" t="n"/>
      <c r="J52" s="17" t="n"/>
      <c r="K52" s="17" t="n"/>
      <c r="L52" s="17" t="n"/>
      <c r="M52" s="17" t="n"/>
      <c r="N52" s="17" t="n"/>
    </row>
    <row r="53">
      <c r="A53" s="17" t="n">
        <v>5</v>
      </c>
      <c r="B53" s="17" t="inlineStr">
        <is>
          <t>OPERAÇÃO (DEPLOY &amp; ROLLBACK)</t>
        </is>
      </c>
      <c r="C53" s="17" t="inlineStr">
        <is>
          <t>5.3</t>
        </is>
      </c>
      <c r="D53" s="17" t="inlineStr">
        <is>
          <t>Gatilho de rollback — taxa de erro</t>
        </is>
      </c>
      <c r="E53" s="17" t="inlineStr">
        <is>
          <t>formulario_original</t>
        </is>
      </c>
      <c r="F53" s="17" t="inlineStr">
        <is>
          <t>pendente</t>
        </is>
      </c>
      <c r="G53" s="17" t="n"/>
      <c r="H53" s="17" t="n"/>
      <c r="I53" s="17" t="n"/>
      <c r="J53" s="17" t="n"/>
      <c r="K53" s="17" t="n"/>
      <c r="L53" s="17" t="n"/>
      <c r="M53" s="17" t="n"/>
      <c r="N53" s="17" t="n"/>
    </row>
    <row r="54">
      <c r="A54" s="17" t="n">
        <v>5</v>
      </c>
      <c r="B54" s="17" t="inlineStr">
        <is>
          <t>OPERAÇÃO (DEPLOY &amp; ROLLBACK)</t>
        </is>
      </c>
      <c r="C54" s="17" t="inlineStr">
        <is>
          <t>5.4</t>
        </is>
      </c>
      <c r="D54" s="17" t="inlineStr">
        <is>
          <t>Gatilho de rollback — latência</t>
        </is>
      </c>
      <c r="E54" s="17" t="inlineStr">
        <is>
          <t>formulario_original</t>
        </is>
      </c>
      <c r="F54" s="17" t="inlineStr">
        <is>
          <t>pendente</t>
        </is>
      </c>
      <c r="G54" s="17" t="n"/>
      <c r="H54" s="17" t="n"/>
      <c r="I54" s="17" t="n"/>
      <c r="J54" s="17" t="n"/>
      <c r="K54" s="17" t="n"/>
      <c r="L54" s="17" t="n"/>
      <c r="M54" s="17" t="n"/>
      <c r="N54" s="17" t="n"/>
    </row>
    <row r="55">
      <c r="A55" s="17" t="n">
        <v>5</v>
      </c>
      <c r="B55" s="17" t="inlineStr">
        <is>
          <t>OPERAÇÃO (DEPLOY &amp; ROLLBACK)</t>
        </is>
      </c>
      <c r="C55" s="17" t="inlineStr">
        <is>
          <t>5.5</t>
        </is>
      </c>
      <c r="D55" s="17" t="inlineStr">
        <is>
          <t>Gatilho de rollback — fluxo crítico</t>
        </is>
      </c>
      <c r="E55" s="17" t="inlineStr">
        <is>
          <t>formulario_original</t>
        </is>
      </c>
      <c r="F55" s="17" t="inlineStr">
        <is>
          <t>pendente</t>
        </is>
      </c>
      <c r="G55" s="17" t="n"/>
      <c r="H55" s="17" t="n"/>
      <c r="I55" s="17" t="n"/>
      <c r="J55" s="17" t="n"/>
      <c r="K55" s="17" t="n"/>
      <c r="L55" s="17" t="n"/>
      <c r="M55" s="17" t="n"/>
      <c r="N55" s="17" t="n"/>
    </row>
    <row r="56">
      <c r="A56" s="17" t="n">
        <v>5</v>
      </c>
      <c r="B56" s="17" t="inlineStr">
        <is>
          <t>OPERAÇÃO (DEPLOY &amp; ROLLBACK)</t>
        </is>
      </c>
      <c r="C56" s="17" t="inlineStr">
        <is>
          <t>5.6</t>
        </is>
      </c>
      <c r="D56" s="17" t="inlineStr">
        <is>
          <t>Procedimento de rollback</t>
        </is>
      </c>
      <c r="E56" s="17" t="inlineStr">
        <is>
          <t>formulario_original</t>
        </is>
      </c>
      <c r="F56" s="17" t="inlineStr">
        <is>
          <t>pendente</t>
        </is>
      </c>
      <c r="G56" s="17" t="n"/>
      <c r="H56" s="17" t="n"/>
      <c r="I56" s="17" t="n"/>
      <c r="J56" s="17" t="n"/>
      <c r="K56" s="17" t="n"/>
      <c r="L56" s="17" t="n"/>
      <c r="M56" s="17" t="n"/>
      <c r="N56" s="17" t="n"/>
    </row>
    <row r="57">
      <c r="A57" s="17" t="n">
        <v>5</v>
      </c>
      <c r="B57" s="17" t="inlineStr">
        <is>
          <t>OPERAÇÃO (DEPLOY &amp; ROLLBACK)</t>
        </is>
      </c>
      <c r="C57" s="17" t="inlineStr">
        <is>
          <t>5.7</t>
        </is>
      </c>
      <c r="D57" s="17" t="inlineStr">
        <is>
          <t>Resposta a incidentes</t>
        </is>
      </c>
      <c r="E57" s="17" t="inlineStr">
        <is>
          <t>enriquecido_via_plugin</t>
        </is>
      </c>
      <c r="F57" s="17" t="inlineStr">
        <is>
          <t>pendente</t>
        </is>
      </c>
      <c r="G57" s="17" t="n"/>
      <c r="H57" s="17" t="n"/>
      <c r="I57" s="17" t="n"/>
      <c r="J57" s="17" t="n"/>
      <c r="K57" s="17" t="n"/>
      <c r="L57" s="17" t="n"/>
      <c r="M57" s="17" t="n"/>
      <c r="N57" s="17" t="n"/>
    </row>
    <row r="58">
      <c r="A58" s="17" t="n">
        <v>5</v>
      </c>
      <c r="B58" s="17" t="inlineStr">
        <is>
          <t>OPERAÇÃO (DEPLOY &amp; ROLLBACK)</t>
        </is>
      </c>
      <c r="C58" s="17" t="inlineStr">
        <is>
          <t>5.8</t>
        </is>
      </c>
      <c r="D58" s="17" t="inlineStr">
        <is>
          <t>Gestão de mudanças</t>
        </is>
      </c>
      <c r="E58" s="17" t="inlineStr">
        <is>
          <t>enriquecido_via_plugin</t>
        </is>
      </c>
      <c r="F58" s="17" t="inlineStr">
        <is>
          <t>pendente</t>
        </is>
      </c>
      <c r="G58" s="17" t="n"/>
      <c r="H58" s="17" t="n"/>
      <c r="I58" s="17" t="n"/>
      <c r="J58" s="17" t="n"/>
      <c r="K58" s="17" t="n"/>
      <c r="L58" s="17" t="n"/>
      <c r="M58" s="17" t="n"/>
      <c r="N58" s="17" t="n"/>
    </row>
    <row r="59">
      <c r="A59" s="17" t="n">
        <v>6</v>
      </c>
      <c r="B59" s="17" t="inlineStr">
        <is>
          <t>GOVERNANÇA &amp; SEGURANÇA</t>
        </is>
      </c>
      <c r="C59" s="17" t="inlineStr">
        <is>
          <t>6.1</t>
        </is>
      </c>
      <c r="D59" s="17" t="inlineStr">
        <is>
          <t>Estratégia de branch</t>
        </is>
      </c>
      <c r="E59" s="17" t="inlineStr">
        <is>
          <t>formulario_original</t>
        </is>
      </c>
      <c r="F59" s="17" t="inlineStr">
        <is>
          <t>pendente</t>
        </is>
      </c>
      <c r="G59" s="17" t="n"/>
      <c r="H59" s="17" t="n"/>
      <c r="I59" s="17" t="n"/>
      <c r="J59" s="17" t="n"/>
      <c r="K59" s="17" t="n"/>
      <c r="L59" s="17" t="n"/>
      <c r="M59" s="17" t="n"/>
      <c r="N59" s="17" t="n"/>
    </row>
    <row r="60">
      <c r="A60" s="17" t="n">
        <v>6</v>
      </c>
      <c r="B60" s="17" t="inlineStr">
        <is>
          <t>GOVERNANÇA &amp; SEGURANÇA</t>
        </is>
      </c>
      <c r="C60" s="17" t="inlineStr">
        <is>
          <t>6.2</t>
        </is>
      </c>
      <c r="D60" s="17" t="inlineStr">
        <is>
          <t>Gate humano obrigatório</t>
        </is>
      </c>
      <c r="E60" s="17" t="inlineStr">
        <is>
          <t>formulario_original</t>
        </is>
      </c>
      <c r="F60" s="17" t="inlineStr">
        <is>
          <t>pendente</t>
        </is>
      </c>
      <c r="G60" s="17" t="n"/>
      <c r="H60" s="17" t="n"/>
      <c r="I60" s="17" t="n"/>
      <c r="J60" s="17" t="n"/>
      <c r="K60" s="17" t="n"/>
      <c r="L60" s="17" t="n"/>
      <c r="M60" s="17" t="n"/>
      <c r="N60" s="17" t="n"/>
    </row>
    <row r="61">
      <c r="A61" s="17" t="n">
        <v>6</v>
      </c>
      <c r="B61" s="17" t="inlineStr">
        <is>
          <t>GOVERNANÇA &amp; SEGURANÇA</t>
        </is>
      </c>
      <c r="C61" s="17" t="inlineStr">
        <is>
          <t>6.3</t>
        </is>
      </c>
      <c r="D61" s="17" t="inlineStr">
        <is>
          <t>Armazenamento de segredos</t>
        </is>
      </c>
      <c r="E61" s="17" t="inlineStr">
        <is>
          <t>formulario_original</t>
        </is>
      </c>
      <c r="F61" s="17" t="inlineStr">
        <is>
          <t>pendente</t>
        </is>
      </c>
      <c r="G61" s="17" t="n"/>
      <c r="H61" s="17" t="n"/>
      <c r="I61" s="17" t="n"/>
      <c r="J61" s="17" t="n"/>
      <c r="K61" s="17" t="n"/>
      <c r="L61" s="17" t="n"/>
      <c r="M61" s="17" t="n"/>
      <c r="N61" s="17" t="n"/>
    </row>
    <row r="62">
      <c r="A62" s="17" t="n">
        <v>6</v>
      </c>
      <c r="B62" s="17" t="inlineStr">
        <is>
          <t>GOVERNANÇA &amp; SEGURANÇA</t>
        </is>
      </c>
      <c r="C62" s="17" t="inlineStr">
        <is>
          <t>6.4</t>
        </is>
      </c>
      <c r="D62" s="17" t="inlineStr">
        <is>
          <t>Rotação de credenciais</t>
        </is>
      </c>
      <c r="E62" s="17" t="inlineStr">
        <is>
          <t>formulario_original</t>
        </is>
      </c>
      <c r="F62" s="17" t="inlineStr">
        <is>
          <t>pendente</t>
        </is>
      </c>
      <c r="G62" s="17" t="n"/>
      <c r="H62" s="17" t="n"/>
      <c r="I62" s="17" t="n"/>
      <c r="J62" s="17" t="n"/>
      <c r="K62" s="17" t="n"/>
      <c r="L62" s="17" t="n"/>
      <c r="M62" s="17" t="n"/>
      <c r="N62" s="17" t="n"/>
    </row>
    <row r="63">
      <c r="A63" s="17" t="n">
        <v>6</v>
      </c>
      <c r="B63" s="17" t="inlineStr">
        <is>
          <t>GOVERNANÇA &amp; SEGURANÇA</t>
        </is>
      </c>
      <c r="C63" s="17" t="inlineStr">
        <is>
          <t>6.5</t>
        </is>
      </c>
      <c r="D63" s="17" t="inlineStr">
        <is>
          <t>Riscos de segurança conhecidos</t>
        </is>
      </c>
      <c r="E63" s="17" t="inlineStr">
        <is>
          <t>formulario_original</t>
        </is>
      </c>
      <c r="F63" s="17" t="inlineStr">
        <is>
          <t>pendente</t>
        </is>
      </c>
      <c r="G63" s="17" t="n"/>
      <c r="H63" s="17" t="n"/>
      <c r="I63" s="17" t="n"/>
      <c r="J63" s="17" t="n"/>
      <c r="K63" s="17" t="n"/>
      <c r="L63" s="17" t="n"/>
      <c r="M63" s="17" t="n"/>
      <c r="N63" s="17" t="n"/>
    </row>
    <row r="64">
      <c r="A64" s="17" t="n">
        <v>6</v>
      </c>
      <c r="B64" s="17" t="inlineStr">
        <is>
          <t>GOVERNANÇA &amp; SEGURANÇA</t>
        </is>
      </c>
      <c r="C64" s="17" t="inlineStr">
        <is>
          <t>6.6</t>
        </is>
      </c>
      <c r="D64" s="17" t="inlineStr">
        <is>
          <t>Escopo de autonomia do agente de AI</t>
        </is>
      </c>
      <c r="E64" s="17" t="inlineStr">
        <is>
          <t>formulario_original</t>
        </is>
      </c>
      <c r="F64" s="17" t="inlineStr">
        <is>
          <t>pendente</t>
        </is>
      </c>
      <c r="G64" s="17" t="n"/>
      <c r="H64" s="17" t="n"/>
      <c r="I64" s="17" t="n"/>
      <c r="J64" s="17" t="n"/>
      <c r="K64" s="17" t="n"/>
      <c r="L64" s="17" t="n"/>
      <c r="M64" s="17" t="n"/>
      <c r="N64" s="17" t="n"/>
    </row>
    <row r="65">
      <c r="A65" s="17" t="n">
        <v>6</v>
      </c>
      <c r="B65" s="17" t="inlineStr">
        <is>
          <t>GOVERNANÇA &amp; SEGURANÇA</t>
        </is>
      </c>
      <c r="C65" s="17" t="inlineStr">
        <is>
          <t>6.7</t>
        </is>
      </c>
      <c r="D65" s="17" t="inlineStr">
        <is>
          <t>Rastreamento de compliance</t>
        </is>
      </c>
      <c r="E65" s="17" t="inlineStr">
        <is>
          <t>enriquecido_via_plugin</t>
        </is>
      </c>
      <c r="F65" s="17" t="inlineStr">
        <is>
          <t>pendente</t>
        </is>
      </c>
      <c r="G65" s="17" t="n"/>
      <c r="H65" s="17" t="n"/>
      <c r="I65" s="17" t="n"/>
      <c r="J65" s="17" t="n"/>
      <c r="K65" s="17" t="n"/>
      <c r="L65" s="17" t="n"/>
      <c r="M65" s="17" t="n"/>
      <c r="N65" s="17" t="n"/>
    </row>
    <row r="66">
      <c r="A66" s="17" t="n">
        <v>7</v>
      </c>
      <c r="B66" s="17" t="inlineStr">
        <is>
          <t>DOCUMENTAÇÃO FUNDACIONAL</t>
        </is>
      </c>
      <c r="C66" s="17" t="inlineStr">
        <is>
          <t>7.1</t>
        </is>
      </c>
      <c r="D66" s="17" t="inlineStr">
        <is>
          <t>README existe?</t>
        </is>
      </c>
      <c r="E66" s="17" t="inlineStr">
        <is>
          <t>formulario_original</t>
        </is>
      </c>
      <c r="F66" s="17" t="inlineStr">
        <is>
          <t>pendente</t>
        </is>
      </c>
      <c r="G66" s="17" t="n"/>
      <c r="H66" s="17" t="n"/>
      <c r="I66" s="17" t="n"/>
      <c r="J66" s="17" t="n"/>
      <c r="K66" s="17" t="n"/>
      <c r="L66" s="17" t="n"/>
      <c r="M66" s="17" t="n"/>
      <c r="N66" s="17" t="n"/>
    </row>
    <row r="67">
      <c r="A67" s="17" t="n">
        <v>7</v>
      </c>
      <c r="B67" s="17" t="inlineStr">
        <is>
          <t>DOCUMENTAÇÃO FUNDACIONAL</t>
        </is>
      </c>
      <c r="C67" s="17" t="inlineStr">
        <is>
          <t>7.2</t>
        </is>
      </c>
      <c r="D67" s="17" t="inlineStr">
        <is>
          <t>ADRs documentados</t>
        </is>
      </c>
      <c r="E67" s="17" t="inlineStr">
        <is>
          <t>formulario_original</t>
        </is>
      </c>
      <c r="F67" s="17" t="inlineStr">
        <is>
          <t>pendente</t>
        </is>
      </c>
      <c r="G67" s="17" t="n"/>
      <c r="H67" s="17" t="n"/>
      <c r="I67" s="17" t="n"/>
      <c r="J67" s="17" t="n"/>
      <c r="K67" s="17" t="n"/>
      <c r="L67" s="17" t="n"/>
      <c r="M67" s="17" t="n"/>
      <c r="N67" s="17" t="n"/>
    </row>
    <row r="68">
      <c r="A68" s="17" t="n">
        <v>7</v>
      </c>
      <c r="B68" s="17" t="inlineStr">
        <is>
          <t>DOCUMENTAÇÃO FUNDACIONAL</t>
        </is>
      </c>
      <c r="C68" s="17" t="inlineStr">
        <is>
          <t>7.3</t>
        </is>
      </c>
      <c r="D68" s="17" t="inlineStr">
        <is>
          <t>Documentação de API</t>
        </is>
      </c>
      <c r="E68" s="17" t="inlineStr">
        <is>
          <t>formulario_original</t>
        </is>
      </c>
      <c r="F68" s="17" t="inlineStr">
        <is>
          <t>pendente</t>
        </is>
      </c>
      <c r="G68" s="17" t="n"/>
      <c r="H68" s="17" t="n"/>
      <c r="I68" s="17" t="n"/>
      <c r="J68" s="17" t="n"/>
      <c r="K68" s="17" t="n"/>
      <c r="L68" s="17" t="n"/>
      <c r="M68" s="17" t="n"/>
      <c r="N68" s="17" t="n"/>
    </row>
    <row r="69">
      <c r="A69" s="17" t="n">
        <v>7</v>
      </c>
      <c r="B69" s="17" t="inlineStr">
        <is>
          <t>DOCUMENTAÇÃO FUNDACIONAL</t>
        </is>
      </c>
      <c r="C69" s="17" t="inlineStr">
        <is>
          <t>7.4</t>
        </is>
      </c>
      <c r="D69" s="17" t="inlineStr">
        <is>
          <t>Guia de onboarding</t>
        </is>
      </c>
      <c r="E69" s="17" t="inlineStr">
        <is>
          <t>formulario_original</t>
        </is>
      </c>
      <c r="F69" s="17" t="inlineStr">
        <is>
          <t>pendente</t>
        </is>
      </c>
      <c r="G69" s="17" t="n"/>
      <c r="H69" s="17" t="n"/>
      <c r="I69" s="17" t="n"/>
      <c r="J69" s="17" t="n"/>
      <c r="K69" s="17" t="n"/>
      <c r="L69" s="17" t="n"/>
      <c r="M69" s="17" t="n"/>
      <c r="N69" s="17" t="n"/>
    </row>
    <row r="70">
      <c r="A70" s="17" t="n">
        <v>7</v>
      </c>
      <c r="B70" s="17" t="inlineStr">
        <is>
          <t>DOCUMENTAÇÃO FUNDACIONAL</t>
        </is>
      </c>
      <c r="C70" s="17" t="inlineStr">
        <is>
          <t>7.5</t>
        </is>
      </c>
      <c r="D70" s="17" t="inlineStr">
        <is>
          <t>Catálogo de skills/ferramentas</t>
        </is>
      </c>
      <c r="E70" s="17" t="inlineStr">
        <is>
          <t>formulario_original</t>
        </is>
      </c>
      <c r="F70" s="17" t="inlineStr">
        <is>
          <t>pendente</t>
        </is>
      </c>
      <c r="G70" s="17" t="n"/>
      <c r="H70" s="17" t="n"/>
      <c r="I70" s="17" t="n"/>
      <c r="J70" s="17" t="n"/>
      <c r="K70" s="17" t="n"/>
      <c r="L70" s="17" t="n"/>
      <c r="M70" s="17" t="n"/>
      <c r="N70" s="17" t="n"/>
    </row>
    <row r="71">
      <c r="A71" s="17" t="n">
        <v>7</v>
      </c>
      <c r="B71" s="17" t="inlineStr">
        <is>
          <t>DOCUMENTAÇÃO FUNDACIONAL</t>
        </is>
      </c>
      <c r="C71" s="17" t="inlineStr">
        <is>
          <t>7.6</t>
        </is>
      </c>
      <c r="D71" s="17" t="inlineStr">
        <is>
          <t>Memória de trabalho para agentes</t>
        </is>
      </c>
      <c r="E71" s="17" t="inlineStr">
        <is>
          <t>enriquecido_via_plugin</t>
        </is>
      </c>
      <c r="F71" s="17" t="inlineStr">
        <is>
          <t>pendente</t>
        </is>
      </c>
      <c r="G71" s="17" t="n"/>
      <c r="H71" s="17" t="n"/>
      <c r="I71" s="17" t="n"/>
      <c r="J71" s="17" t="n"/>
      <c r="K71" s="17" t="n"/>
      <c r="L71" s="17" t="n"/>
      <c r="M71" s="17" t="n"/>
      <c r="N71" s="17" t="n"/>
    </row>
    <row r="72">
      <c r="A72" s="17" t="n">
        <v>8</v>
      </c>
      <c r="B72" s="17" t="inlineStr">
        <is>
          <t>GESTÃO DE PROJETOS &amp; PMBOK</t>
        </is>
      </c>
      <c r="C72" s="17" t="inlineStr">
        <is>
          <t>8.1</t>
        </is>
      </c>
      <c r="D72" s="17" t="inlineStr">
        <is>
          <t>Problema/oportunidade que justifica o projeto</t>
        </is>
      </c>
      <c r="E72" s="17" t="inlineStr">
        <is>
          <t>formulario_original</t>
        </is>
      </c>
      <c r="F72" s="17" t="inlineStr">
        <is>
          <t>parcial</t>
        </is>
      </c>
      <c r="G72" s="18" t="inlineStr">
        <is>
          <t>Gap entre intenção e execução: pessoas capazes — sobretudo adultos neurodivergentes e autônomos com múltiplos projetos — perdem tempo e energia organizando, priorizando, retomando contexto, lembrando dependências e administrando ferramentas, a ponto de a própria organização virar fonte de atrito. A oportunidade é ocupar a integração ainda pouco explorada entre neurodivergência, ergonomia cognitiva, human factors e gestão de riscos aplicada à execução.</t>
        </is>
      </c>
      <c r="H72" s="17" t="inlineStr">
        <is>
          <t>fato_interno</t>
        </is>
      </c>
      <c r="I72" s="17" t="inlineStr">
        <is>
          <t>alta</t>
        </is>
      </c>
      <c r="J72" s="17" t="n"/>
      <c r="K72" s="17" t="n"/>
      <c r="L72" s="18" t="inlineStr">
        <is>
          <t>§02 Problema e Mercado (Gap Intenção–Execução; Carga Executiva; Adultos Neurodivergentes) e §01 Síntese Estratégica (Integração Operacional).</t>
        </is>
      </c>
      <c r="M72" s="18" t="inlineStr">
        <is>
          <t>O próprio §03-T1 registra que a justificativa ainda precisa ser consolidada formalmente como problema central + oportunidade de mercado em documento único.</t>
        </is>
      </c>
      <c r="N72" s="18" t="inlineStr">
        <is>
          <t>Consolidar 8.1 em declaração formal de problema/oportunidade no Project Charter (PC-01).</t>
        </is>
      </c>
    </row>
    <row r="73">
      <c r="A73" s="17" t="n">
        <v>8</v>
      </c>
      <c r="B73" s="17" t="inlineStr">
        <is>
          <t>GESTÃO DE PROJETOS &amp; PMBOK</t>
        </is>
      </c>
      <c r="C73" s="17" t="inlineStr">
        <is>
          <t>8.2</t>
        </is>
      </c>
      <c r="D73" s="17" t="inlineStr">
        <is>
          <t>Sponsor / Patrocinador</t>
        </is>
      </c>
      <c r="E73" s="17" t="inlineStr">
        <is>
          <t>formulario_original</t>
        </is>
      </c>
      <c r="F73" s="17" t="inlineStr">
        <is>
          <t>preenchido</t>
        </is>
      </c>
      <c r="G73" s="18" t="inlineStr">
        <is>
          <t>Não há patrocinador formal definido neste estágio. A operação é conduzida por trabalhador solo independente, que acumula de fato a autoridade decisória.</t>
        </is>
      </c>
      <c r="H73" s="17" t="inlineStr">
        <is>
          <t>fato_interno</t>
        </is>
      </c>
      <c r="I73" s="17" t="inlineStr">
        <is>
          <t>alta</t>
        </is>
      </c>
      <c r="J73" s="17" t="n"/>
      <c r="K73" s="17" t="n"/>
      <c r="L73" s="17" t="inlineStr">
        <is>
          <t>§03-T1 · 01. Justificativa e Governança · Patrocínio · 8.2.</t>
        </is>
      </c>
      <c r="M73" s="17" t="n"/>
      <c r="N73" s="18" t="inlineStr">
        <is>
          <t>Registrar formalmente a autoridade decisória do owner no Project Charter (PC-01/PC-02).</t>
        </is>
      </c>
    </row>
    <row r="74">
      <c r="A74" s="17" t="n">
        <v>8</v>
      </c>
      <c r="B74" s="17" t="inlineStr">
        <is>
          <t>GESTÃO DE PROJETOS &amp; PMBOK</t>
        </is>
      </c>
      <c r="C74" s="17" t="inlineStr">
        <is>
          <t>8.3</t>
        </is>
      </c>
      <c r="D74" s="17" t="inlineStr">
        <is>
          <t>Critério de sucesso principal</t>
        </is>
      </c>
      <c r="E74" s="17" t="inlineStr">
        <is>
          <t>formulario_original</t>
        </is>
      </c>
      <c r="F74" s="17" t="inlineStr">
        <is>
          <t>parcial</t>
        </is>
      </c>
      <c r="G74" s="18" t="inlineStr">
        <is>
          <t>Captar clientes para a Consultoria EXECUTAR enquanto as demais linhas do ecossistema são desenvolvidas, validadas e solidificadas — a consultoria funciona como principal mecanismo de geração de caixa e de mapa de calor das necessidades reais do público.</t>
        </is>
      </c>
      <c r="H74" s="17" t="inlineStr">
        <is>
          <t>decisao</t>
        </is>
      </c>
      <c r="I74" s="17" t="inlineStr">
        <is>
          <t>alta</t>
        </is>
      </c>
      <c r="J74" s="17" t="n"/>
      <c r="K74" s="17" t="n"/>
      <c r="L74" s="18" t="inlineStr">
        <is>
          <t>§03-T1 · Critério de Sucesso · 8.3 + 03. Objetivos Táticos T1 + 09. Indicadores de Sucesso · Receita.</t>
        </is>
      </c>
      <c r="M74" s="18" t="inlineStr">
        <is>
          <t>Falta meta numérica e prazo: quantos clientes, qual receita, até quando. O campo exige indicador objetivo com meta e prazo.</t>
        </is>
      </c>
      <c r="N74" s="18" t="inlineStr">
        <is>
          <t>Definir meta quantitativa de clientes/receita de consultoria e a data-alvo, ancorada no roadmap set/2026–jan/2027.</t>
        </is>
      </c>
    </row>
    <row r="75">
      <c r="A75" s="17" t="n">
        <v>8</v>
      </c>
      <c r="B75" s="17" t="inlineStr">
        <is>
          <t>GESTÃO DE PROJETOS &amp; PMBOK</t>
        </is>
      </c>
      <c r="C75" s="17" t="inlineStr">
        <is>
          <t>8.4</t>
        </is>
      </c>
      <c r="D75" s="17" t="inlineStr">
        <is>
          <t>Decisão Go/No-Go</t>
        </is>
      </c>
      <c r="E75" s="17" t="inlineStr">
        <is>
          <t>formulario_original</t>
        </is>
      </c>
      <c r="F75" s="17" t="inlineStr">
        <is>
          <t>lacuna</t>
        </is>
      </c>
      <c r="G75" s="17" t="n"/>
      <c r="H75" s="17" t="n"/>
      <c r="I75" s="17" t="n"/>
      <c r="J75" s="17" t="n"/>
      <c r="K75" s="17" t="n"/>
      <c r="L75" s="17" t="inlineStr">
        <is>
          <t>§03-T1 · Gate de Decisão · 8.4 registra explicitamente TBD.</t>
        </is>
      </c>
      <c r="M75" s="18" t="inlineStr">
        <is>
          <t>Não existem critérios objetivos definidos para continuar, corrigir, suspender ou despriorizar cada linha do ecossistema.</t>
        </is>
      </c>
      <c r="N75" s="18" t="inlineStr">
        <is>
          <t>Definir critérios Go/No-Go por linha (app, blog, infoprodutos, físicos, consultoria, livro), ancorados no Gate de Revisão de 24/10/2026.</t>
        </is>
      </c>
    </row>
    <row r="76">
      <c r="A76" s="17" t="n">
        <v>8</v>
      </c>
      <c r="B76" s="17" t="inlineStr">
        <is>
          <t>GESTÃO DE PROJETOS &amp; PMBOK</t>
        </is>
      </c>
      <c r="C76" s="17" t="inlineStr">
        <is>
          <t>8.5</t>
        </is>
      </c>
      <c r="D76" s="17" t="inlineStr">
        <is>
          <t>Abordagem do projeto</t>
        </is>
      </c>
      <c r="E76" s="17" t="inlineStr">
        <is>
          <t>formulario_original</t>
        </is>
      </c>
      <c r="F76" s="17" t="inlineStr">
        <is>
          <t>lacuna</t>
        </is>
      </c>
      <c r="G76" s="17" t="n"/>
      <c r="H76" s="17" t="n"/>
      <c r="I76" s="17" t="n"/>
      <c r="J76" s="17" t="n"/>
      <c r="K76" s="17" t="n"/>
      <c r="L76" s="18" t="inlineStr">
        <is>
          <t>§03-T1 · Modelo de Gestão · 8.5 registra TBD; restrição conhecida: operação predominantemente solo.</t>
        </is>
      </c>
      <c r="M76" s="18" t="inlineStr">
        <is>
          <t>Abordagem preditiva, ágil ou híbrida ainda não escolhida nem documentada.</t>
        </is>
      </c>
      <c r="N76" s="18" t="inlineStr">
        <is>
          <t>Selecionar e documentar a abordagem (o PMBOK 8 contempla preditiva, adaptativa e híbrida — PDF Fundamentos §3.6), coerente com operação solo e baixo overhead administrativo.</t>
        </is>
      </c>
    </row>
    <row r="77">
      <c r="A77" s="17" t="n">
        <v>8</v>
      </c>
      <c r="B77" s="17" t="inlineStr">
        <is>
          <t>GESTÃO DE PROJETOS &amp; PMBOK</t>
        </is>
      </c>
      <c r="C77" s="17" t="inlineStr">
        <is>
          <t>8.6</t>
        </is>
      </c>
      <c r="D77" s="17" t="inlineStr">
        <is>
          <t>Relato de status</t>
        </is>
      </c>
      <c r="E77" s="17" t="inlineStr">
        <is>
          <t>enriquecido_via_plugin</t>
        </is>
      </c>
      <c r="F77" s="17" t="inlineStr">
        <is>
          <t>lacuna</t>
        </is>
      </c>
      <c r="G77" s="17" t="n"/>
      <c r="H77" s="17" t="n"/>
      <c r="I77" s="17" t="n"/>
      <c r="J77" s="17" t="n"/>
      <c r="K77" s="17" t="n"/>
      <c r="L77" s="18" t="inlineStr">
        <is>
          <t>§03-T1 · Status Executivo · 8.6 registra TBD; §10 Pontos em Aberto · Semáforo de Status confirma.</t>
        </is>
      </c>
      <c r="M77" s="18" t="inlineStr">
        <is>
          <t>Não há padrão Verde/Amarelo/Vermelho com critérios objetivos de prazo, risco, bloqueio e resultado.</t>
        </is>
      </c>
      <c r="N77" s="18" t="inlineStr">
        <is>
          <t>Formalizar regras do semáforo de status e a cadência de emissão do relato.</t>
        </is>
      </c>
    </row>
    <row r="78">
      <c r="A78" s="17" t="n">
        <v>9</v>
      </c>
      <c r="B78" s="17" t="inlineStr">
        <is>
          <t>PLANEJAMENTO ESTRATÉGICO, TÁTICO E OPERACIONAL</t>
        </is>
      </c>
      <c r="C78" s="17" t="inlineStr">
        <is>
          <t>9.1</t>
        </is>
      </c>
      <c r="D78" s="17" t="inlineStr">
        <is>
          <t>Objetivo estratégico (12+ meses)</t>
        </is>
      </c>
      <c r="E78" s="17" t="inlineStr">
        <is>
          <t>formulario_original</t>
        </is>
      </c>
      <c r="F78" s="17" t="inlineStr">
        <is>
          <t>preenchido</t>
        </is>
      </c>
      <c r="G78" s="18" t="inlineStr">
        <is>
          <t>Tornar-se referência em Risco Cognitivo e temas relacionados por meio de um ecossistema consolidado de conteúdo, produtos, software, educação e serviços — construindo autoridade em território pouco explorado via pesquisa, publicação, aplicação prática, casos e participação de especialistas.</t>
        </is>
      </c>
      <c r="H78" s="17" t="inlineStr">
        <is>
          <t>decisao</t>
        </is>
      </c>
      <c r="I78" s="17" t="inlineStr">
        <is>
          <t>alta</t>
        </is>
      </c>
      <c r="J78" s="17" t="n"/>
      <c r="K78" s="17" t="n"/>
      <c r="L78" s="18" t="inlineStr">
        <is>
          <t>§03-T1 · 02. Objetivos Estratégicos · 9.1 + Autoridade + Ecossistema.</t>
        </is>
      </c>
      <c r="M78" s="17" t="n"/>
      <c r="N78" s="17" t="n"/>
    </row>
    <row r="79">
      <c r="A79" s="17" t="n">
        <v>9</v>
      </c>
      <c r="B79" s="17" t="inlineStr">
        <is>
          <t>PLANEJAMENTO ESTRATÉGICO, TÁTICO E OPERACIONAL</t>
        </is>
      </c>
      <c r="C79" s="17" t="inlineStr">
        <is>
          <t>9.2</t>
        </is>
      </c>
      <c r="D79" s="17" t="inlineStr">
        <is>
          <t>Objetivo tático (trimestre/ciclo)</t>
        </is>
      </c>
      <c r="E79" s="17" t="inlineStr">
        <is>
          <t>formulario_original</t>
        </is>
      </c>
      <c r="F79" s="17" t="inlineStr">
        <is>
          <t>preenchido</t>
        </is>
      </c>
      <c r="G79" s="18" t="inlineStr">
        <is>
          <t>Ciclo atual (T1): Consultoria e Capitalização — priorizar consultoria para gerar receita, aprender com clientes e construir mapa de calor das necessidades reais. Sequência tática subsequente: T2 consolidação do App SAS-EXECUTAR; T3 produtos e infoprodutos; T4 comunidade e ONG. Em paralelo: livro sobre risco cognitivo e parcerias com especialistas no blog.</t>
        </is>
      </c>
      <c r="H79" s="17" t="inlineStr">
        <is>
          <t>inferencia</t>
        </is>
      </c>
      <c r="I79" s="17" t="inlineStr">
        <is>
          <t>media</t>
        </is>
      </c>
      <c r="J79" s="17" t="n"/>
      <c r="K79" s="17" t="n"/>
      <c r="L79" s="18" t="inlineStr">
        <is>
          <t>§03-T1 · 03. Objetivos Táticos · T1–T4, Autoridade Editorial e Parcerias.</t>
        </is>
      </c>
      <c r="M79" s="18" t="inlineStr">
        <is>
          <t>Mapeamento inferido: a base documental lista os objetivos táticos T1–T4 mas não os rotula explicitamente como o campo 9.2, nem fixa o horizonte trimestral de cada um.</t>
        </is>
      </c>
      <c r="N79" s="18" t="inlineStr">
        <is>
          <t>Confirmar com o owner qual objetivo tático corresponde ao trimestre corrente e sua data de fechamento.</t>
        </is>
      </c>
    </row>
    <row r="80">
      <c r="A80" s="17" t="n">
        <v>9</v>
      </c>
      <c r="B80" s="17" t="inlineStr">
        <is>
          <t>PLANEJAMENTO ESTRATÉGICO, TÁTICO E OPERACIONAL</t>
        </is>
      </c>
      <c r="C80" s="17" t="inlineStr">
        <is>
          <t>9.3</t>
        </is>
      </c>
      <c r="D80" s="17" t="inlineStr">
        <is>
          <t>Prioridade operacional da semana</t>
        </is>
      </c>
      <c r="E80" s="17" t="inlineStr">
        <is>
          <t>formulario_original</t>
        </is>
      </c>
      <c r="F80" s="17" t="inlineStr">
        <is>
          <t>preenchido</t>
        </is>
      </c>
      <c r="G80" s="18" t="inlineStr">
        <is>
          <t>Lançar o blog, configurar as contas, definir a linha editorial e ativar o ecossistema editorial antes do lançamento público do app beta — concluir a fundação editorial e os canais de aquisição antes de avançar para o EXECUTAR beta.</t>
        </is>
      </c>
      <c r="H80" s="17" t="inlineStr">
        <is>
          <t>decisao</t>
        </is>
      </c>
      <c r="I80" s="17" t="inlineStr">
        <is>
          <t>alta</t>
        </is>
      </c>
      <c r="J80" s="17" t="n"/>
      <c r="K80" s="17" t="n"/>
      <c r="L80" s="18" t="inlineStr">
        <is>
          <t>§03-T1 · 04. Prioridade Operacional · 9.3 + Sequência Blog → App; confirmado pelo roadmap (blog 07/09/2026, app beta 14/09/2026).</t>
        </is>
      </c>
      <c r="M80" s="17" t="n"/>
      <c r="N80" s="17" t="n"/>
    </row>
    <row r="81">
      <c r="A81" s="17" t="n">
        <v>9</v>
      </c>
      <c r="B81" s="17" t="inlineStr">
        <is>
          <t>PLANEJAMENTO ESTRATÉGICO, TÁTICO E OPERACIONAL</t>
        </is>
      </c>
      <c r="C81" s="17" t="inlineStr">
        <is>
          <t>9.4</t>
        </is>
      </c>
      <c r="D81" s="17" t="inlineStr">
        <is>
          <t>Dependência entre horizontes</t>
        </is>
      </c>
      <c r="E81" s="17" t="inlineStr">
        <is>
          <t>formulario_original</t>
        </is>
      </c>
      <c r="F81" s="17" t="inlineStr">
        <is>
          <t>parcial</t>
        </is>
      </c>
      <c r="G81" s="18" t="inlineStr">
        <is>
          <t>Cadeia material já descrita na base: Consultoria → Capitalização (caixa enquanto produtos escaláveis amadurecem); Consultoria → Necessidades (clientes geram evidência de dores recorrentes); Necessidades → App (aprendizado orienta funcionalidades do SAS-EXECUTAR); Conteúdo → Produtos (audiência sustenta distribuição e validação); Produtos → Comunidade (comunidade/ONG só após consolidação de autoridade e operação).</t>
        </is>
      </c>
      <c r="H81" s="17" t="inlineStr">
        <is>
          <t>fato_interno</t>
        </is>
      </c>
      <c r="I81" s="17" t="inlineStr">
        <is>
          <t>media</t>
        </is>
      </c>
      <c r="J81" s="17" t="n"/>
      <c r="K81" s="17" t="n"/>
      <c r="L81" s="18" t="inlineStr">
        <is>
          <t>§03-T1 · 05. Dependências Estratégicas (cinco pares de dependência declarados).</t>
        </is>
      </c>
      <c r="M81" s="18" t="inlineStr">
        <is>
          <t>CONFLITO REGISTRADO: a linha 9.4 do §03-T1 marca "TBD — deve ser formalizada a cadeia de dependências", mas o mesmo bloco §05 já enumera cinco dependências materiais. Falta a formalização com predecessores, sucessores, bloqueios e gates explícitos.</t>
        </is>
      </c>
      <c r="N81" s="18" t="inlineStr">
        <is>
          <t>Formalizar o grafo de dependências entre horizontes com gates verificáveis (resolve também MASTER-04).</t>
        </is>
      </c>
    </row>
    <row r="82">
      <c r="A82" s="17" t="n">
        <v>9</v>
      </c>
      <c r="B82" s="17" t="inlineStr">
        <is>
          <t>PLANEJAMENTO ESTRATÉGICO, TÁTICO E OPERACIONAL</t>
        </is>
      </c>
      <c r="C82" s="17" t="inlineStr">
        <is>
          <t>9.5</t>
        </is>
      </c>
      <c r="D82" s="17" t="inlineStr">
        <is>
          <t>Capacidade de recursos</t>
        </is>
      </c>
      <c r="E82" s="17" t="inlineStr">
        <is>
          <t>enriquecido_via_plugin</t>
        </is>
      </c>
      <c r="F82" s="17" t="inlineStr">
        <is>
          <t>preenchido</t>
        </is>
      </c>
      <c r="G82" s="18" t="inlineStr">
        <is>
          <t>Não aplicável no modelo atual: não há planejamento formal de contratação ou ampliação imediata de equipe. Restrição vigente: operação predominantemente individual, com capacidade limitada de execução simultânea e necessidade de limite de WIP para evitar dispersão.</t>
        </is>
      </c>
      <c r="H82" s="17" t="inlineStr">
        <is>
          <t>fato_interno</t>
        </is>
      </c>
      <c r="I82" s="17" t="inlineStr">
        <is>
          <t>alta</t>
        </is>
      </c>
      <c r="J82" s="17" t="n"/>
      <c r="K82" s="17" t="n"/>
      <c r="L82" s="18" t="inlineStr">
        <is>
          <t>§03-T1 · 06. Recursos e Capacidade · 9.5 + Operação Solo + Limite de WIP.</t>
        </is>
      </c>
      <c r="M82" s="17" t="n"/>
      <c r="N82" s="18" t="inlineStr">
        <is>
          <t>Definir o número máximo de iniciativas simultâneas (limite de WIP numérico) — hoje é diretriz qualitativa.</t>
        </is>
      </c>
    </row>
    <row r="83">
      <c r="A83" s="17" t="n">
        <v>10</v>
      </c>
      <c r="B83" s="17" t="inlineStr">
        <is>
          <t>ROADMAP, CRONOGRAMA, CICLOS E BACKLOG</t>
        </is>
      </c>
      <c r="C83" s="17" t="inlineStr">
        <is>
          <t>10.1</t>
        </is>
      </c>
      <c r="D83" s="17" t="inlineStr">
        <is>
          <t>Marco de médio prazo #1</t>
        </is>
      </c>
      <c r="E83" s="17" t="inlineStr">
        <is>
          <t>formulario_original</t>
        </is>
      </c>
      <c r="F83" s="17" t="inlineStr">
        <is>
          <t>lacuna</t>
        </is>
      </c>
      <c r="G83" s="17" t="n"/>
      <c r="H83" s="17" t="n"/>
      <c r="I83" s="17" t="n"/>
      <c r="J83" s="17" t="n"/>
      <c r="K83" s="17" t="n"/>
      <c r="L83" s="17" t="inlineStr">
        <is>
          <t>§03-T1 · 07. Marcos e Roadmap · 10.1 registra TBD.</t>
        </is>
      </c>
      <c r="M83" s="18" t="inlineStr">
        <is>
          <t>CONFLITO REGISTRADO: 10.1 está marcado TBD, mas o §05-Cronograma traz marcos datados (blog 07/09/2026; app beta 14/09/2026; serviços 21/09/2026; infoprodutos e físicos 28/09/2026; curso 19/10/2026; Gate de Revisão 24/10/2026; manuscrito 12/12/2026; livro 10/01/2027). Falta eleger qual deles é o marco de médio prazo #1 verificável.</t>
        </is>
      </c>
      <c r="N83" s="18" t="inlineStr">
        <is>
          <t>Eleger o marco de médio prazo #1 — candidato mais forte: Gate de Revisão de 24/10/2026, único ponto do roadmap que já é definido como decisão baseada em dados acumulados.</t>
        </is>
      </c>
    </row>
    <row r="84">
      <c r="A84" s="17" t="n">
        <v>10</v>
      </c>
      <c r="B84" s="17" t="inlineStr">
        <is>
          <t>ROADMAP, CRONOGRAMA, CICLOS E BACKLOG</t>
        </is>
      </c>
      <c r="C84" s="17" t="inlineStr">
        <is>
          <t>10.2</t>
        </is>
      </c>
      <c r="D84" s="17" t="inlineStr">
        <is>
          <t>Ciclo semanal atual</t>
        </is>
      </c>
      <c r="E84" s="17" t="inlineStr">
        <is>
          <t>formulario_original</t>
        </is>
      </c>
      <c r="F84" s="17" t="inlineStr">
        <is>
          <t>preenchido</t>
        </is>
      </c>
      <c r="G84" s="18" t="inlineStr">
        <is>
          <t>Ciclo Zero — dedicado à preparação, estruturação e ativação inicial do ecossistema: canais, conteúdo, contas, processos, ativos e preparação dos primeiros lançamentos.</t>
        </is>
      </c>
      <c r="H84" s="17" t="inlineStr">
        <is>
          <t>fato_interno</t>
        </is>
      </c>
      <c r="I84" s="17" t="inlineStr">
        <is>
          <t>alta</t>
        </is>
      </c>
      <c r="J84" s="17" t="n"/>
      <c r="K84" s="17" t="n"/>
      <c r="L84" s="18" t="inlineStr">
        <is>
          <t>§03-T1 · 07. Marcos e Roadmap · 10.2 + 08. Modelo Operacional · Ciclo Zero.</t>
        </is>
      </c>
      <c r="M84" s="18" t="inlineStr">
        <is>
          <t>O formulário original oferece as opções Editorial/Desenvolvimento/Governança; "Ciclo Zero" é um estado anterior a essas três fases e não estava previsto na lista de opções.</t>
        </is>
      </c>
      <c r="N84" s="18" t="inlineStr">
        <is>
          <t>Ampliar o domínio de valores de 10.2 para incluir Ciclo Zero (fundação) além de Editorial, Desenvolvimento e Governança.</t>
        </is>
      </c>
    </row>
    <row r="85">
      <c r="A85" s="17" t="n">
        <v>10</v>
      </c>
      <c r="B85" s="17" t="inlineStr">
        <is>
          <t>ROADMAP, CRONOGRAMA, CICLOS E BACKLOG</t>
        </is>
      </c>
      <c r="C85" s="17" t="inlineStr">
        <is>
          <t>10.3</t>
        </is>
      </c>
      <c r="D85" s="17" t="inlineStr">
        <is>
          <t>Item de backlog crítico</t>
        </is>
      </c>
      <c r="E85" s="17" t="inlineStr">
        <is>
          <t>formulario_original</t>
        </is>
      </c>
      <c r="F85" s="17" t="inlineStr">
        <is>
          <t>lacuna</t>
        </is>
      </c>
      <c r="G85" s="17" t="n"/>
      <c r="H85" s="17" t="n"/>
      <c r="I85" s="17" t="n"/>
      <c r="J85" s="17" t="n"/>
      <c r="K85" s="17" t="n"/>
      <c r="L85" s="18" t="inlineStr">
        <is>
          <t>§03-T1 · Backlog · 10.3 registra TBD; §10 Pontos em Aberto · Item Crítico confirma.</t>
        </is>
      </c>
      <c r="M85" s="18" t="inlineStr">
        <is>
          <t>Não foi identificado o único item cuja não execução bloqueia o próximo marco. Candidato derivável de 9.3: o lançamento do blog em 07/09/2026 (predecessor declarado do app beta).</t>
        </is>
      </c>
      <c r="N85" s="18" t="inlineStr">
        <is>
          <t>Confirmar com o owner o item de backlog crítico único e amarrá-lo ao marco de 10.1.</t>
        </is>
      </c>
    </row>
    <row r="86">
      <c r="A86" s="17" t="n">
        <v>10</v>
      </c>
      <c r="B86" s="17" t="inlineStr">
        <is>
          <t>ROADMAP, CRONOGRAMA, CICLOS E BACKLOG</t>
        </is>
      </c>
      <c r="C86" s="17" t="inlineStr">
        <is>
          <t>10.4</t>
        </is>
      </c>
      <c r="D86" s="17" t="inlineStr">
        <is>
          <t>Cadência de revisão</t>
        </is>
      </c>
      <c r="E86" s="17" t="inlineStr">
        <is>
          <t>formulario_original</t>
        </is>
      </c>
      <c r="F86" s="17" t="inlineStr">
        <is>
          <t>preenchido</t>
        </is>
      </c>
      <c r="G86" s="18" t="inlineStr">
        <is>
          <t>Revisão quinzenal: a cada 15 dias estratégia, backlog e roadmap são confrontados com dados reais de execução e mercado. Responsável: o owner do projeto (operação solo).</t>
        </is>
      </c>
      <c r="H86" s="17" t="inlineStr">
        <is>
          <t>decisao</t>
        </is>
      </c>
      <c r="I86" s="17" t="inlineStr">
        <is>
          <t>alta</t>
        </is>
      </c>
      <c r="J86" s="17" t="n"/>
      <c r="K86" s="17" t="n"/>
      <c r="L86" s="18" t="inlineStr">
        <is>
          <t>§03-T1 · 07. Marcos e Roadmap · 10.4 + 08. Modelo Operacional · Revisão Quinzenal.</t>
        </is>
      </c>
      <c r="M86" s="17" t="n"/>
      <c r="N86" s="17" t="n"/>
    </row>
    <row r="87">
      <c r="A87" s="17" t="n">
        <v>10</v>
      </c>
      <c r="B87" s="17" t="inlineStr">
        <is>
          <t>ROADMAP, CRONOGRAMA, CICLOS E BACKLOG</t>
        </is>
      </c>
      <c r="C87" s="17" t="inlineStr">
        <is>
          <t>10.5</t>
        </is>
      </c>
      <c r="D87" s="17" t="inlineStr">
        <is>
          <t>Planejamento de sprint</t>
        </is>
      </c>
      <c r="E87" s="17" t="inlineStr">
        <is>
          <t>enriquecido_via_plugin</t>
        </is>
      </c>
      <c r="F87" s="17" t="inlineStr">
        <is>
          <t>lacuna</t>
        </is>
      </c>
      <c r="G87" s="17" t="n"/>
      <c r="H87" s="17" t="n"/>
      <c r="I87" s="17" t="n"/>
      <c r="J87" s="17" t="n"/>
      <c r="K87" s="17" t="n"/>
      <c r="L87" s="18" t="inlineStr">
        <is>
          <t>§03-T1 · Sprint · 10.5 registra TBD; §10 Pontos em Aberto · Capacidade confirma.</t>
        </is>
      </c>
      <c r="M87" s="18" t="inlineStr">
        <is>
          <t>Não existe mecanismo para selecionar trabalho por prioridade, dependência e capacidade real. Restrição conhecida (9.5): operação solo exige regra simples e limite de WIP.</t>
        </is>
      </c>
      <c r="N87" s="18" t="inlineStr">
        <is>
          <t>Criar regra mínima de planejamento que limite compromissos do ciclo à capacidade real disponível.</t>
        </is>
      </c>
    </row>
    <row r="88">
      <c r="A88" s="17" t="n">
        <v>11</v>
      </c>
      <c r="B88" s="17" t="inlineStr">
        <is>
          <t>EDITORIAL, CAMPANHAS E CONTEÚDO</t>
        </is>
      </c>
      <c r="C88" s="17" t="inlineStr">
        <is>
          <t>11.1</t>
        </is>
      </c>
      <c r="D88" s="17" t="inlineStr">
        <is>
          <t>Linha editorial</t>
        </is>
      </c>
      <c r="E88" s="17" t="inlineStr">
        <is>
          <t>formulario_original</t>
        </is>
      </c>
      <c r="F88" s="17" t="inlineStr">
        <is>
          <t>pendente</t>
        </is>
      </c>
      <c r="G88" s="17" t="n"/>
      <c r="H88" s="17" t="n"/>
      <c r="I88" s="17" t="n"/>
      <c r="J88" s="17" t="n"/>
      <c r="K88" s="17" t="n"/>
      <c r="L88" s="17" t="n"/>
      <c r="M88" s="17" t="n"/>
      <c r="N88" s="17" t="n"/>
    </row>
    <row r="89">
      <c r="A89" s="17" t="n">
        <v>11</v>
      </c>
      <c r="B89" s="17" t="inlineStr">
        <is>
          <t>EDITORIAL, CAMPANHAS E CONTEÚDO</t>
        </is>
      </c>
      <c r="C89" s="17" t="inlineStr">
        <is>
          <t>11.2</t>
        </is>
      </c>
      <c r="D89" s="17" t="inlineStr">
        <is>
          <t>Calendário de publicação</t>
        </is>
      </c>
      <c r="E89" s="17" t="inlineStr">
        <is>
          <t>formulario_original</t>
        </is>
      </c>
      <c r="F89" s="17" t="inlineStr">
        <is>
          <t>pendente</t>
        </is>
      </c>
      <c r="G89" s="17" t="n"/>
      <c r="H89" s="17" t="n"/>
      <c r="I89" s="17" t="n"/>
      <c r="J89" s="17" t="n"/>
      <c r="K89" s="17" t="n"/>
      <c r="L89" s="17" t="n"/>
      <c r="M89" s="17" t="n"/>
      <c r="N89" s="17" t="n"/>
    </row>
    <row r="90">
      <c r="A90" s="17" t="n">
        <v>11</v>
      </c>
      <c r="B90" s="17" t="inlineStr">
        <is>
          <t>EDITORIAL, CAMPANHAS E CONTEÚDO</t>
        </is>
      </c>
      <c r="C90" s="17" t="inlineStr">
        <is>
          <t>11.3</t>
        </is>
      </c>
      <c r="D90" s="17" t="inlineStr">
        <is>
          <t>Campanha ativa</t>
        </is>
      </c>
      <c r="E90" s="17" t="inlineStr">
        <is>
          <t>formulario_original</t>
        </is>
      </c>
      <c r="F90" s="17" t="inlineStr">
        <is>
          <t>pendente</t>
        </is>
      </c>
      <c r="G90" s="17" t="n"/>
      <c r="H90" s="17" t="n"/>
      <c r="I90" s="17" t="n"/>
      <c r="J90" s="17" t="n"/>
      <c r="K90" s="17" t="n"/>
      <c r="L90" s="17" t="n"/>
      <c r="M90" s="17" t="n"/>
      <c r="N90" s="17" t="n"/>
    </row>
    <row r="91">
      <c r="A91" s="17" t="n">
        <v>11</v>
      </c>
      <c r="B91" s="17" t="inlineStr">
        <is>
          <t>EDITORIAL, CAMPANHAS E CONTEÚDO</t>
        </is>
      </c>
      <c r="C91" s="17" t="inlineStr">
        <is>
          <t>11.4</t>
        </is>
      </c>
      <c r="D91" s="17" t="inlineStr">
        <is>
          <t>Trilha de conteúdo</t>
        </is>
      </c>
      <c r="E91" s="17" t="inlineStr">
        <is>
          <t>formulario_original</t>
        </is>
      </c>
      <c r="F91" s="17" t="inlineStr">
        <is>
          <t>pendente</t>
        </is>
      </c>
      <c r="G91" s="17" t="n"/>
      <c r="H91" s="17" t="n"/>
      <c r="I91" s="17" t="n"/>
      <c r="J91" s="17" t="n"/>
      <c r="K91" s="17" t="n"/>
      <c r="L91" s="17" t="n"/>
      <c r="M91" s="17" t="n"/>
      <c r="N91" s="17" t="n"/>
    </row>
    <row r="92">
      <c r="A92" s="17" t="n">
        <v>11</v>
      </c>
      <c r="B92" s="17" t="inlineStr">
        <is>
          <t>EDITORIAL, CAMPANHAS E CONTEÚDO</t>
        </is>
      </c>
      <c r="C92" s="17" t="inlineStr">
        <is>
          <t>11.5</t>
        </is>
      </c>
      <c r="D92" s="17" t="inlineStr">
        <is>
          <t>Banco de conteúdo</t>
        </is>
      </c>
      <c r="E92" s="17" t="inlineStr">
        <is>
          <t>enriquecido_via_plugin</t>
        </is>
      </c>
      <c r="F92" s="17" t="inlineStr">
        <is>
          <t>pendente</t>
        </is>
      </c>
      <c r="G92" s="17" t="n"/>
      <c r="H92" s="17" t="n"/>
      <c r="I92" s="17" t="n"/>
      <c r="J92" s="17" t="n"/>
      <c r="K92" s="17" t="n"/>
      <c r="L92" s="17" t="n"/>
      <c r="M92" s="17" t="n"/>
      <c r="N92" s="17" t="n"/>
    </row>
    <row r="93">
      <c r="A93" s="17" t="n">
        <v>11</v>
      </c>
      <c r="B93" s="17" t="inlineStr">
        <is>
          <t>EDITORIAL, CAMPANHAS E CONTEÚDO</t>
        </is>
      </c>
      <c r="C93" s="17" t="inlineStr">
        <is>
          <t>11.6</t>
        </is>
      </c>
      <c r="D93" s="17" t="inlineStr">
        <is>
          <t>Identidade visual e voz de marca</t>
        </is>
      </c>
      <c r="E93" s="17" t="inlineStr">
        <is>
          <t>enriquecido_via_plugin</t>
        </is>
      </c>
      <c r="F93" s="17" t="inlineStr">
        <is>
          <t>pendente</t>
        </is>
      </c>
      <c r="G93" s="17" t="n"/>
      <c r="H93" s="17" t="n"/>
      <c r="I93" s="17" t="n"/>
      <c r="J93" s="17" t="n"/>
      <c r="K93" s="17" t="n"/>
      <c r="L93" s="17" t="n"/>
      <c r="M93" s="17" t="n"/>
      <c r="N93" s="17" t="n"/>
    </row>
    <row r="94">
      <c r="A94" s="17" t="n">
        <v>11</v>
      </c>
      <c r="B94" s="17" t="inlineStr">
        <is>
          <t>EDITORIAL, CAMPANHAS E CONTEÚDO</t>
        </is>
      </c>
      <c r="C94" s="17" t="inlineStr">
        <is>
          <t>11.7</t>
        </is>
      </c>
      <c r="D94" s="17" t="inlineStr">
        <is>
          <t>Design system e componentes</t>
        </is>
      </c>
      <c r="E94" s="17" t="inlineStr">
        <is>
          <t>enriquecido_via_plugin</t>
        </is>
      </c>
      <c r="F94" s="17" t="inlineStr">
        <is>
          <t>pendente</t>
        </is>
      </c>
      <c r="G94" s="17" t="n"/>
      <c r="H94" s="17" t="n"/>
      <c r="I94" s="17" t="n"/>
      <c r="J94" s="17" t="n"/>
      <c r="K94" s="17" t="n"/>
      <c r="L94" s="17" t="n"/>
      <c r="M94" s="17" t="n"/>
      <c r="N94" s="17" t="n"/>
    </row>
    <row r="95">
      <c r="A95" s="17" t="n">
        <v>11</v>
      </c>
      <c r="B95" s="17" t="inlineStr">
        <is>
          <t>EDITORIAL, CAMPANHAS E CONTEÚDO</t>
        </is>
      </c>
      <c r="C95" s="17" t="inlineStr">
        <is>
          <t>11.8</t>
        </is>
      </c>
      <c r="D95" s="17" t="inlineStr">
        <is>
          <t>Revisão de acessibilidade</t>
        </is>
      </c>
      <c r="E95" s="17" t="inlineStr">
        <is>
          <t>enriquecido_via_plugin</t>
        </is>
      </c>
      <c r="F95" s="17" t="inlineStr">
        <is>
          <t>pendente</t>
        </is>
      </c>
      <c r="G95" s="17" t="n"/>
      <c r="H95" s="17" t="n"/>
      <c r="I95" s="17" t="n"/>
      <c r="J95" s="17" t="n"/>
      <c r="K95" s="17" t="n"/>
      <c r="L95" s="17" t="n"/>
      <c r="M95" s="17" t="n"/>
      <c r="N95" s="17" t="n"/>
    </row>
    <row r="96">
      <c r="A96" s="17" t="n">
        <v>11</v>
      </c>
      <c r="B96" s="17" t="inlineStr">
        <is>
          <t>EDITORIAL, CAMPANHAS E CONTEÚDO</t>
        </is>
      </c>
      <c r="C96" s="17" t="inlineStr">
        <is>
          <t>11.9</t>
        </is>
      </c>
      <c r="D96" s="17" t="inlineStr">
        <is>
          <t>Pesquisa de usuário para conteúdo</t>
        </is>
      </c>
      <c r="E96" s="17" t="inlineStr">
        <is>
          <t>enriquecido_via_plugin</t>
        </is>
      </c>
      <c r="F96" s="17" t="inlineStr">
        <is>
          <t>pendente</t>
        </is>
      </c>
      <c r="G96" s="17" t="n"/>
      <c r="H96" s="17" t="n"/>
      <c r="I96" s="17" t="n"/>
      <c r="J96" s="17" t="n"/>
      <c r="K96" s="17" t="n"/>
      <c r="L96" s="17" t="n"/>
      <c r="M96" s="17" t="n"/>
      <c r="N96" s="17" t="n"/>
    </row>
    <row r="97">
      <c r="A97" s="17" t="n">
        <v>11</v>
      </c>
      <c r="B97" s="17" t="inlineStr">
        <is>
          <t>EDITORIAL, CAMPANHAS E CONTEÚDO</t>
        </is>
      </c>
      <c r="C97" s="17" t="inlineStr">
        <is>
          <t>11.10</t>
        </is>
      </c>
      <c r="D97" s="17" t="inlineStr">
        <is>
          <t>SEO e performance de conteúdo</t>
        </is>
      </c>
      <c r="E97" s="17" t="inlineStr">
        <is>
          <t>enriquecido_via_plugin</t>
        </is>
      </c>
      <c r="F97" s="17" t="inlineStr">
        <is>
          <t>pendente</t>
        </is>
      </c>
      <c r="G97" s="17" t="n"/>
      <c r="H97" s="17" t="n"/>
      <c r="I97" s="17" t="n"/>
      <c r="J97" s="17" t="n"/>
      <c r="K97" s="17" t="n"/>
      <c r="L97" s="17" t="n"/>
      <c r="M97" s="17" t="n"/>
      <c r="N97" s="17" t="n"/>
    </row>
    <row r="98">
      <c r="A98" s="17" t="n">
        <v>12</v>
      </c>
      <c r="B98" s="17" t="inlineStr">
        <is>
          <t>STAKEHOLDERS</t>
        </is>
      </c>
      <c r="C98" s="17" t="inlineStr">
        <is>
          <t>12.1</t>
        </is>
      </c>
      <c r="D98" s="17" t="inlineStr">
        <is>
          <t>Stakeholder principal</t>
        </is>
      </c>
      <c r="E98" s="17" t="inlineStr">
        <is>
          <t>formulario_original</t>
        </is>
      </c>
      <c r="F98" s="17" t="inlineStr">
        <is>
          <t>pendente</t>
        </is>
      </c>
      <c r="G98" s="17" t="n"/>
      <c r="H98" s="17" t="n"/>
      <c r="I98" s="17" t="n"/>
      <c r="J98" s="17" t="n"/>
      <c r="K98" s="17" t="n"/>
      <c r="L98" s="17" t="n"/>
      <c r="M98" s="17" t="n"/>
      <c r="N98" s="17" t="n"/>
    </row>
    <row r="99">
      <c r="A99" s="17" t="n">
        <v>12</v>
      </c>
      <c r="B99" s="17" t="inlineStr">
        <is>
          <t>STAKEHOLDERS</t>
        </is>
      </c>
      <c r="C99" s="17" t="inlineStr">
        <is>
          <t>12.2</t>
        </is>
      </c>
      <c r="D99" s="17" t="inlineStr">
        <is>
          <t>Forma de comunicação</t>
        </is>
      </c>
      <c r="E99" s="17" t="inlineStr">
        <is>
          <t>formulario_original</t>
        </is>
      </c>
      <c r="F99" s="17" t="inlineStr">
        <is>
          <t>pendente</t>
        </is>
      </c>
      <c r="G99" s="17" t="n"/>
      <c r="H99" s="17" t="n"/>
      <c r="I99" s="17" t="n"/>
      <c r="J99" s="17" t="n"/>
      <c r="K99" s="17" t="n"/>
      <c r="L99" s="17" t="n"/>
      <c r="M99" s="17" t="n"/>
      <c r="N99" s="17" t="n"/>
    </row>
    <row r="100">
      <c r="A100" s="17" t="n">
        <v>12</v>
      </c>
      <c r="B100" s="17" t="inlineStr">
        <is>
          <t>STAKEHOLDERS</t>
        </is>
      </c>
      <c r="C100" s="17" t="inlineStr">
        <is>
          <t>12.3</t>
        </is>
      </c>
      <c r="D100" s="17" t="inlineStr">
        <is>
          <t>Expectativa não alinhada</t>
        </is>
      </c>
      <c r="E100" s="17" t="inlineStr">
        <is>
          <t>formulario_original</t>
        </is>
      </c>
      <c r="F100" s="17" t="inlineStr">
        <is>
          <t>pendente</t>
        </is>
      </c>
      <c r="G100" s="17" t="n"/>
      <c r="H100" s="17" t="n"/>
      <c r="I100" s="17" t="n"/>
      <c r="J100" s="17" t="n"/>
      <c r="K100" s="17" t="n"/>
      <c r="L100" s="17" t="n"/>
      <c r="M100" s="17" t="n"/>
      <c r="N100" s="17" t="n"/>
    </row>
    <row r="101">
      <c r="A101" s="17" t="n">
        <v>12</v>
      </c>
      <c r="B101" s="17" t="inlineStr">
        <is>
          <t>STAKEHOLDERS</t>
        </is>
      </c>
      <c r="C101" s="17" t="inlineStr">
        <is>
          <t>12.4</t>
        </is>
      </c>
      <c r="D101" s="17" t="inlineStr">
        <is>
          <t>Estrutura organizacional</t>
        </is>
      </c>
      <c r="E101" s="17" t="inlineStr">
        <is>
          <t>enriquecido_via_plugin</t>
        </is>
      </c>
      <c r="F101" s="17" t="inlineStr">
        <is>
          <t>pendente</t>
        </is>
      </c>
      <c r="G101" s="17" t="n"/>
      <c r="H101" s="17" t="n"/>
      <c r="I101" s="17" t="n"/>
      <c r="J101" s="17" t="n"/>
      <c r="K101" s="17" t="n"/>
      <c r="L101" s="17" t="n"/>
      <c r="M101" s="17" t="n"/>
      <c r="N101" s="17" t="n"/>
    </row>
    <row r="102">
      <c r="A102" s="17" t="n">
        <v>13</v>
      </c>
      <c r="B102" s="17" t="inlineStr">
        <is>
          <t>RUNBOOKS, SOPS E ROTINAS</t>
        </is>
      </c>
      <c r="C102" s="17" t="inlineStr">
        <is>
          <t>13.1</t>
        </is>
      </c>
      <c r="D102" s="17" t="inlineStr">
        <is>
          <t>Runbook crítico #1</t>
        </is>
      </c>
      <c r="E102" s="17" t="inlineStr">
        <is>
          <t>formulario_original</t>
        </is>
      </c>
      <c r="F102" s="17" t="inlineStr">
        <is>
          <t>pendente</t>
        </is>
      </c>
      <c r="G102" s="17" t="n"/>
      <c r="H102" s="17" t="n"/>
      <c r="I102" s="17" t="n"/>
      <c r="J102" s="17" t="n"/>
      <c r="K102" s="17" t="n"/>
      <c r="L102" s="17" t="n"/>
      <c r="M102" s="17" t="n"/>
      <c r="N102" s="17" t="n"/>
    </row>
    <row r="103">
      <c r="A103" s="17" t="n">
        <v>13</v>
      </c>
      <c r="B103" s="17" t="inlineStr">
        <is>
          <t>RUNBOOKS, SOPS E ROTINAS</t>
        </is>
      </c>
      <c r="C103" s="17" t="inlineStr">
        <is>
          <t>13.2</t>
        </is>
      </c>
      <c r="D103" s="17" t="inlineStr">
        <is>
          <t>Responsável pela rotina</t>
        </is>
      </c>
      <c r="E103" s="17" t="inlineStr">
        <is>
          <t>formulario_original</t>
        </is>
      </c>
      <c r="F103" s="17" t="inlineStr">
        <is>
          <t>pendente</t>
        </is>
      </c>
      <c r="G103" s="17" t="n"/>
      <c r="H103" s="17" t="n"/>
      <c r="I103" s="17" t="n"/>
      <c r="J103" s="17" t="n"/>
      <c r="K103" s="17" t="n"/>
      <c r="L103" s="17" t="n"/>
      <c r="M103" s="17" t="n"/>
      <c r="N103" s="17" t="n"/>
    </row>
    <row r="104">
      <c r="A104" s="17" t="n">
        <v>13</v>
      </c>
      <c r="B104" s="17" t="inlineStr">
        <is>
          <t>RUNBOOKS, SOPS E ROTINAS</t>
        </is>
      </c>
      <c r="C104" s="17" t="inlineStr">
        <is>
          <t>13.3</t>
        </is>
      </c>
      <c r="D104" s="17" t="inlineStr">
        <is>
          <t>SOP documentado?</t>
        </is>
      </c>
      <c r="E104" s="17" t="inlineStr">
        <is>
          <t>formulario_original</t>
        </is>
      </c>
      <c r="F104" s="17" t="inlineStr">
        <is>
          <t>pendente</t>
        </is>
      </c>
      <c r="G104" s="17" t="n"/>
      <c r="H104" s="17" t="n"/>
      <c r="I104" s="17" t="n"/>
      <c r="J104" s="17" t="n"/>
      <c r="K104" s="17" t="n"/>
      <c r="L104" s="17" t="n"/>
      <c r="M104" s="17" t="n"/>
      <c r="N104" s="17" t="n"/>
    </row>
    <row r="105">
      <c r="A105" s="17" t="n">
        <v>13</v>
      </c>
      <c r="B105" s="17" t="inlineStr">
        <is>
          <t>RUNBOOKS, SOPS E ROTINAS</t>
        </is>
      </c>
      <c r="C105" s="17" t="inlineStr">
        <is>
          <t>13.4</t>
        </is>
      </c>
      <c r="D105" s="17" t="inlineStr">
        <is>
          <t>Otimização de processo</t>
        </is>
      </c>
      <c r="E105" s="17" t="inlineStr">
        <is>
          <t>enriquecido_via_plugin</t>
        </is>
      </c>
      <c r="F105" s="17" t="inlineStr">
        <is>
          <t>pendente</t>
        </is>
      </c>
      <c r="G105" s="17" t="n"/>
      <c r="H105" s="17" t="n"/>
      <c r="I105" s="17" t="n"/>
      <c r="J105" s="17" t="n"/>
      <c r="K105" s="17" t="n"/>
      <c r="L105" s="17" t="n"/>
      <c r="M105" s="17" t="n"/>
      <c r="N105" s="17" t="n"/>
    </row>
    <row r="106">
      <c r="A106" s="17" t="n">
        <v>13</v>
      </c>
      <c r="B106" s="17" t="inlineStr">
        <is>
          <t>RUNBOOKS, SOPS E ROTINAS</t>
        </is>
      </c>
      <c r="C106" s="17" t="inlineStr">
        <is>
          <t>13.5</t>
        </is>
      </c>
      <c r="D106" s="17" t="inlineStr">
        <is>
          <t>Cadência de briefing semanal</t>
        </is>
      </c>
      <c r="E106" s="17" t="inlineStr">
        <is>
          <t>enriquecido_via_plugin</t>
        </is>
      </c>
      <c r="F106" s="17" t="inlineStr">
        <is>
          <t>pendente</t>
        </is>
      </c>
      <c r="G106" s="17" t="n"/>
      <c r="H106" s="17" t="n"/>
      <c r="I106" s="17" t="n"/>
      <c r="J106" s="17" t="n"/>
      <c r="K106" s="17" t="n"/>
      <c r="L106" s="17" t="n"/>
      <c r="M106" s="17" t="n"/>
      <c r="N106" s="17" t="n"/>
    </row>
    <row r="107">
      <c r="A107" s="17" t="n">
        <v>14</v>
      </c>
      <c r="B107" s="17" t="inlineStr">
        <is>
          <t>PESQUISA, DADOS E CONHECIMENTO</t>
        </is>
      </c>
      <c r="C107" s="17" t="inlineStr">
        <is>
          <t>14.1</t>
        </is>
      </c>
      <c r="D107" s="17" t="inlineStr">
        <is>
          <t>Fonte de evidência principal</t>
        </is>
      </c>
      <c r="E107" s="17" t="inlineStr">
        <is>
          <t>formulario_original</t>
        </is>
      </c>
      <c r="F107" s="17" t="inlineStr">
        <is>
          <t>pendente</t>
        </is>
      </c>
      <c r="G107" s="17" t="n"/>
      <c r="H107" s="17" t="n"/>
      <c r="I107" s="17" t="n"/>
      <c r="J107" s="17" t="n"/>
      <c r="K107" s="17" t="n"/>
      <c r="L107" s="17" t="n"/>
      <c r="M107" s="17" t="n"/>
      <c r="N107" s="17" t="n"/>
    </row>
    <row r="108">
      <c r="A108" s="17" t="n">
        <v>14</v>
      </c>
      <c r="B108" s="17" t="inlineStr">
        <is>
          <t>PESQUISA, DADOS E CONHECIMENTO</t>
        </is>
      </c>
      <c r="C108" s="17" t="inlineStr">
        <is>
          <t>14.2</t>
        </is>
      </c>
      <c r="D108" s="17" t="inlineStr">
        <is>
          <t>Pesquisa/dado pendente</t>
        </is>
      </c>
      <c r="E108" s="17" t="inlineStr">
        <is>
          <t>formulario_original</t>
        </is>
      </c>
      <c r="F108" s="17" t="inlineStr">
        <is>
          <t>pendente</t>
        </is>
      </c>
      <c r="G108" s="17" t="n"/>
      <c r="H108" s="17" t="n"/>
      <c r="I108" s="17" t="n"/>
      <c r="J108" s="17" t="n"/>
      <c r="K108" s="17" t="n"/>
      <c r="L108" s="17" t="n"/>
      <c r="M108" s="17" t="n"/>
      <c r="N108" s="17" t="n"/>
    </row>
    <row r="109">
      <c r="A109" s="17" t="n">
        <v>14</v>
      </c>
      <c r="B109" s="17" t="inlineStr">
        <is>
          <t>PESQUISA, DADOS E CONHECIMENTO</t>
        </is>
      </c>
      <c r="C109" s="17" t="inlineStr">
        <is>
          <t>14.3</t>
        </is>
      </c>
      <c r="D109" s="17" t="inlineStr">
        <is>
          <t>Papel de agentes de IA no projeto</t>
        </is>
      </c>
      <c r="E109" s="17" t="inlineStr">
        <is>
          <t>formulario_original</t>
        </is>
      </c>
      <c r="F109" s="17" t="inlineStr">
        <is>
          <t>pendente</t>
        </is>
      </c>
      <c r="G109" s="17" t="n"/>
      <c r="H109" s="17" t="n"/>
      <c r="I109" s="17" t="n"/>
      <c r="J109" s="17" t="n"/>
      <c r="K109" s="17" t="n"/>
      <c r="L109" s="17" t="n"/>
      <c r="M109" s="17" t="n"/>
      <c r="N109" s="17" t="n"/>
    </row>
    <row r="110">
      <c r="A110" s="17" t="n">
        <v>14</v>
      </c>
      <c r="B110" s="17" t="inlineStr">
        <is>
          <t>PESQUISA, DADOS E CONHECIMENTO</t>
        </is>
      </c>
      <c r="C110" s="17" t="inlineStr">
        <is>
          <t>14.4</t>
        </is>
      </c>
      <c r="D110" s="17" t="inlineStr">
        <is>
          <t>Qualidade e exploração de dados</t>
        </is>
      </c>
      <c r="E110" s="17" t="inlineStr">
        <is>
          <t>enriquecido_via_plugin</t>
        </is>
      </c>
      <c r="F110" s="17" t="inlineStr">
        <is>
          <t>pendente</t>
        </is>
      </c>
      <c r="G110" s="17" t="n"/>
      <c r="H110" s="17" t="n"/>
      <c r="I110" s="17" t="n"/>
      <c r="J110" s="17" t="n"/>
      <c r="K110" s="17" t="n"/>
      <c r="L110" s="17" t="n"/>
      <c r="M110" s="17" t="n"/>
      <c r="N110" s="17" t="n"/>
    </row>
    <row r="111">
      <c r="A111" s="17" t="n">
        <v>14</v>
      </c>
      <c r="B111" s="17" t="inlineStr">
        <is>
          <t>PESQUISA, DADOS E CONHECIMENTO</t>
        </is>
      </c>
      <c r="C111" s="17" t="inlineStr">
        <is>
          <t>14.5</t>
        </is>
      </c>
      <c r="D111" s="17" t="inlineStr">
        <is>
          <t>Busca e síntese entre fontes</t>
        </is>
      </c>
      <c r="E111" s="17" t="inlineStr">
        <is>
          <t>enriquecido_via_plugin</t>
        </is>
      </c>
      <c r="F111" s="17" t="inlineStr">
        <is>
          <t>pendente</t>
        </is>
      </c>
      <c r="G111" s="17" t="n"/>
      <c r="H111" s="17" t="n"/>
      <c r="I111" s="17" t="n"/>
      <c r="J111" s="17" t="n"/>
      <c r="K111" s="17" t="n"/>
      <c r="L111" s="17" t="n"/>
      <c r="M111" s="17" t="n"/>
      <c r="N111" s="17" t="n"/>
    </row>
    <row r="112">
      <c r="A112" s="17" t="n">
        <v>15</v>
      </c>
      <c r="B112" s="17" t="inlineStr">
        <is>
          <t>SKILLS, PLUGINS E FERRAMENTAS</t>
        </is>
      </c>
      <c r="C112" s="17" t="inlineStr">
        <is>
          <t>15.1</t>
        </is>
      </c>
      <c r="D112" s="17" t="inlineStr">
        <is>
          <t>Skill/plugin principal em uso</t>
        </is>
      </c>
      <c r="E112" s="17" t="inlineStr">
        <is>
          <t>formulario_original</t>
        </is>
      </c>
      <c r="F112" s="17" t="inlineStr">
        <is>
          <t>pendente</t>
        </is>
      </c>
      <c r="G112" s="17" t="n"/>
      <c r="H112" s="17" t="n"/>
      <c r="I112" s="17" t="n"/>
      <c r="J112" s="17" t="n"/>
      <c r="K112" s="17" t="n"/>
      <c r="L112" s="17" t="n"/>
      <c r="M112" s="17" t="n"/>
      <c r="N112" s="17" t="n"/>
    </row>
    <row r="113">
      <c r="A113" s="17" t="n">
        <v>15</v>
      </c>
      <c r="B113" s="17" t="inlineStr">
        <is>
          <t>SKILLS, PLUGINS E FERRAMENTAS</t>
        </is>
      </c>
      <c r="C113" s="17" t="inlineStr">
        <is>
          <t>15.2</t>
        </is>
      </c>
      <c r="D113" s="17" t="inlineStr">
        <is>
          <t>Ferramenta de automação conectada</t>
        </is>
      </c>
      <c r="E113" s="17" t="inlineStr">
        <is>
          <t>formulario_original</t>
        </is>
      </c>
      <c r="F113" s="17" t="inlineStr">
        <is>
          <t>pendente</t>
        </is>
      </c>
      <c r="G113" s="17" t="n"/>
      <c r="H113" s="17" t="n"/>
      <c r="I113" s="17" t="n"/>
      <c r="J113" s="17" t="n"/>
      <c r="K113" s="17" t="n"/>
      <c r="L113" s="17" t="n"/>
      <c r="M113" s="17" t="n"/>
      <c r="N113" s="17" t="n"/>
    </row>
    <row r="114">
      <c r="A114" s="17" t="n">
        <v>15</v>
      </c>
      <c r="B114" s="17" t="inlineStr">
        <is>
          <t>SKILLS, PLUGINS E FERRAMENTAS</t>
        </is>
      </c>
      <c r="C114" s="17" t="inlineStr">
        <is>
          <t>15.3</t>
        </is>
      </c>
      <c r="D114" s="17" t="inlineStr">
        <is>
          <t>Lacuna de ferramenta</t>
        </is>
      </c>
      <c r="E114" s="17" t="inlineStr">
        <is>
          <t>formulario_original</t>
        </is>
      </c>
      <c r="F114" s="17" t="inlineStr">
        <is>
          <t>pendente</t>
        </is>
      </c>
      <c r="G114" s="17" t="n"/>
      <c r="H114" s="17" t="n"/>
      <c r="I114" s="17" t="n"/>
      <c r="J114" s="17" t="n"/>
      <c r="K114" s="17" t="n"/>
      <c r="L114" s="17" t="n"/>
      <c r="M114" s="17" t="n"/>
      <c r="N114" s="17" t="n"/>
    </row>
    <row r="115">
      <c r="A115" s="17" t="n">
        <v>15</v>
      </c>
      <c r="B115" s="17" t="inlineStr">
        <is>
          <t>SKILLS, PLUGINS E FERRAMENTAS</t>
        </is>
      </c>
      <c r="C115" s="17" t="inlineStr">
        <is>
          <t>15.4</t>
        </is>
      </c>
      <c r="D115" s="17" t="inlineStr">
        <is>
          <t>Customização/criação de plugin próprio</t>
        </is>
      </c>
      <c r="E115" s="17" t="inlineStr">
        <is>
          <t>enriquecido_via_plugin</t>
        </is>
      </c>
      <c r="F115" s="17" t="inlineStr">
        <is>
          <t>pendente</t>
        </is>
      </c>
      <c r="G115" s="17" t="n"/>
      <c r="H115" s="17" t="n"/>
      <c r="I115" s="17" t="n"/>
      <c r="J115" s="17" t="n"/>
      <c r="K115" s="17" t="n"/>
      <c r="L115" s="17" t="n"/>
      <c r="M115" s="17" t="n"/>
      <c r="N115" s="17" t="n"/>
    </row>
    <row r="116">
      <c r="A116" s="17" t="n">
        <v>16</v>
      </c>
      <c r="B116" s="17" t="inlineStr">
        <is>
          <t>PLATAFORMAS, CONTAS E IDENTIFICADORES</t>
        </is>
      </c>
      <c r="C116" s="17" t="inlineStr">
        <is>
          <t>16.1</t>
        </is>
      </c>
      <c r="D116" s="17" t="inlineStr">
        <is>
          <t>Plataforma principal</t>
        </is>
      </c>
      <c r="E116" s="17" t="inlineStr">
        <is>
          <t>formulario_original</t>
        </is>
      </c>
      <c r="F116" s="17" t="inlineStr">
        <is>
          <t>pendente</t>
        </is>
      </c>
      <c r="G116" s="17" t="n"/>
      <c r="H116" s="17" t="n"/>
      <c r="I116" s="17" t="n"/>
      <c r="J116" s="17" t="n"/>
      <c r="K116" s="17" t="n"/>
      <c r="L116" s="17" t="n"/>
      <c r="M116" s="17" t="n"/>
      <c r="N116" s="17" t="n"/>
    </row>
    <row r="117">
      <c r="A117" s="17" t="n">
        <v>16</v>
      </c>
      <c r="B117" s="17" t="inlineStr">
        <is>
          <t>PLATAFORMAS, CONTAS E IDENTIFICADORES</t>
        </is>
      </c>
      <c r="C117" s="17" t="inlineStr">
        <is>
          <t>16.2</t>
        </is>
      </c>
      <c r="D117" s="17" t="inlineStr">
        <is>
          <t>Link/atalho crítico</t>
        </is>
      </c>
      <c r="E117" s="17" t="inlineStr">
        <is>
          <t>formulario_original</t>
        </is>
      </c>
      <c r="F117" s="17" t="inlineStr">
        <is>
          <t>pendente</t>
        </is>
      </c>
      <c r="G117" s="17" t="n"/>
      <c r="H117" s="17" t="n"/>
      <c r="I117" s="17" t="n"/>
      <c r="J117" s="17" t="n"/>
      <c r="K117" s="17" t="n"/>
      <c r="L117" s="17" t="n"/>
      <c r="M117" s="17" t="n"/>
      <c r="N117" s="17" t="n"/>
    </row>
    <row r="118">
      <c r="A118" s="17" t="n">
        <v>16</v>
      </c>
      <c r="B118" s="17" t="inlineStr">
        <is>
          <t>PLATAFORMAS, CONTAS E IDENTIFICADORES</t>
        </is>
      </c>
      <c r="C118" s="17" t="inlineStr">
        <is>
          <t>16.3</t>
        </is>
      </c>
      <c r="D118" s="17" t="inlineStr">
        <is>
          <t>Responsável pela conta</t>
        </is>
      </c>
      <c r="E118" s="17" t="inlineStr">
        <is>
          <t>formulario_original</t>
        </is>
      </c>
      <c r="F118" s="17" t="inlineStr">
        <is>
          <t>pendente</t>
        </is>
      </c>
      <c r="G118" s="17" t="n"/>
      <c r="H118" s="17" t="n"/>
      <c r="I118" s="17" t="n"/>
      <c r="J118" s="17" t="n"/>
      <c r="K118" s="17" t="n"/>
      <c r="L118" s="17" t="n"/>
      <c r="M118" s="17" t="n"/>
      <c r="N118" s="17" t="n"/>
    </row>
    <row r="119">
      <c r="A119" s="17" t="n">
        <v>16</v>
      </c>
      <c r="B119" s="17" t="inlineStr">
        <is>
          <t>PLATAFORMAS, CONTAS E IDENTIFICADORES</t>
        </is>
      </c>
      <c r="C119" s="17" t="inlineStr">
        <is>
          <t>16.4</t>
        </is>
      </c>
      <c r="D119" s="17" t="inlineStr">
        <is>
          <t>Status de fornecedores/contratos</t>
        </is>
      </c>
      <c r="E119" s="17" t="inlineStr">
        <is>
          <t>enriquecido_via_plugin</t>
        </is>
      </c>
      <c r="F119" s="17" t="inlineStr">
        <is>
          <t>pendente</t>
        </is>
      </c>
      <c r="G119" s="17" t="n"/>
      <c r="H119" s="17" t="n"/>
      <c r="I119" s="17" t="n"/>
      <c r="J119" s="17" t="n"/>
      <c r="K119" s="17" t="n"/>
      <c r="L119" s="17" t="n"/>
      <c r="M119" s="17" t="n"/>
      <c r="N119" s="17" t="n"/>
    </row>
    <row r="120">
      <c r="A120" s="17" t="n">
        <v>17</v>
      </c>
      <c r="B120" s="17" t="inlineStr">
        <is>
          <t>PROMPT ENGINEERING &amp; COMANDOS</t>
        </is>
      </c>
      <c r="C120" s="17" t="inlineStr">
        <is>
          <t>17.1</t>
        </is>
      </c>
      <c r="D120" s="17" t="inlineStr">
        <is>
          <t>Prompt canônico principal</t>
        </is>
      </c>
      <c r="E120" s="17" t="inlineStr">
        <is>
          <t>formulario_original</t>
        </is>
      </c>
      <c r="F120" s="17" t="inlineStr">
        <is>
          <t>pendente</t>
        </is>
      </c>
      <c r="G120" s="17" t="n"/>
      <c r="H120" s="17" t="n"/>
      <c r="I120" s="17" t="n"/>
      <c r="J120" s="17" t="n"/>
      <c r="K120" s="17" t="n"/>
      <c r="L120" s="17" t="n"/>
      <c r="M120" s="17" t="n"/>
      <c r="N120" s="17" t="n"/>
    </row>
    <row r="121">
      <c r="A121" s="17" t="n">
        <v>17</v>
      </c>
      <c r="B121" s="17" t="inlineStr">
        <is>
          <t>PROMPT ENGINEERING &amp; COMANDOS</t>
        </is>
      </c>
      <c r="C121" s="17" t="inlineStr">
        <is>
          <t>17.2</t>
        </is>
      </c>
      <c r="D121" s="17" t="inlineStr">
        <is>
          <t>Comando/gatilho operacional</t>
        </is>
      </c>
      <c r="E121" s="17" t="inlineStr">
        <is>
          <t>formulario_original</t>
        </is>
      </c>
      <c r="F121" s="17" t="inlineStr">
        <is>
          <t>pendente</t>
        </is>
      </c>
      <c r="G121" s="17" t="n"/>
      <c r="H121" s="17" t="n"/>
      <c r="I121" s="17" t="n"/>
      <c r="J121" s="17" t="n"/>
      <c r="K121" s="17" t="n"/>
      <c r="L121" s="17" t="n"/>
      <c r="M121" s="17" t="n"/>
      <c r="N121" s="17" t="n"/>
    </row>
    <row r="122">
      <c r="A122" s="17" t="n">
        <v>17</v>
      </c>
      <c r="B122" s="17" t="inlineStr">
        <is>
          <t>PROMPT ENGINEERING &amp; COMANDOS</t>
        </is>
      </c>
      <c r="C122" s="17" t="inlineStr">
        <is>
          <t>17.3</t>
        </is>
      </c>
      <c r="D122" s="17" t="inlineStr">
        <is>
          <t>Regra anti-alucinação específica</t>
        </is>
      </c>
      <c r="E122" s="17" t="inlineStr">
        <is>
          <t>formulario_original</t>
        </is>
      </c>
      <c r="F122" s="17" t="inlineStr">
        <is>
          <t>pendente</t>
        </is>
      </c>
      <c r="G122" s="17" t="n"/>
      <c r="H122" s="17" t="n"/>
      <c r="I122" s="17" t="n"/>
      <c r="J122" s="17" t="n"/>
      <c r="K122" s="17" t="n"/>
      <c r="L122" s="17" t="n"/>
      <c r="M122" s="17" t="n"/>
      <c r="N122" s="17" t="n"/>
    </row>
    <row r="123">
      <c r="A123" s="17" t="n">
        <v>17</v>
      </c>
      <c r="B123" s="17" t="inlineStr">
        <is>
          <t>PROMPT ENGINEERING &amp; COMANDOS</t>
        </is>
      </c>
      <c r="C123" s="17" t="inlineStr">
        <is>
          <t>17.4</t>
        </is>
      </c>
      <c r="D123" s="17" t="inlineStr">
        <is>
          <t>Sincronização de tarefas e memória</t>
        </is>
      </c>
      <c r="E123" s="17" t="inlineStr">
        <is>
          <t>enriquecido_via_plugin</t>
        </is>
      </c>
      <c r="F123" s="17" t="inlineStr">
        <is>
          <t>pendente</t>
        </is>
      </c>
      <c r="G123" s="17" t="n"/>
      <c r="H123" s="17" t="n"/>
      <c r="I123" s="17" t="n"/>
      <c r="J123" s="17" t="n"/>
      <c r="K123" s="17" t="n"/>
      <c r="L123" s="17" t="n"/>
      <c r="M123" s="17" t="n"/>
      <c r="N123" s="17" t="n"/>
    </row>
  </sheetData>
  <autoFilter ref="A1:N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64" customWidth="1" min="6" max="6"/>
    <col width="70" customWidth="1" min="7" max="7"/>
    <col width="26" customWidth="1" min="8" max="8"/>
    <col width="20" customWidth="1" min="9" max="9"/>
    <col width="13" customWidth="1" min="10" max="10"/>
    <col width="12" customWidth="1" min="11" max="11"/>
    <col width="12" customWidth="1" min="12" max="12"/>
    <col width="12" customWidth="1" min="13" max="13"/>
    <col width="56" customWidth="1" min="14" max="14"/>
  </cols>
  <sheetData>
    <row r="1">
      <c r="A1" s="16" t="inlineStr">
        <is>
          <t>framework</t>
        </is>
      </c>
      <c r="B1" s="16" t="inlineStr">
        <is>
          <t>dimension</t>
        </is>
      </c>
      <c r="C1" s="16" t="inlineStr">
        <is>
          <t>entity</t>
        </is>
      </c>
      <c r="D1" s="16" t="inlineStr">
        <is>
          <t>business_model</t>
        </is>
      </c>
      <c r="E1" s="16" t="inlineStr">
        <is>
          <t>channel</t>
        </is>
      </c>
      <c r="F1" s="16" t="inlineStr">
        <is>
          <t>claim</t>
        </is>
      </c>
      <c r="G1" s="16" t="inlineStr">
        <is>
          <t>evidence</t>
        </is>
      </c>
      <c r="H1" s="16" t="inlineStr">
        <is>
          <t>evidence_record_ids</t>
        </is>
      </c>
      <c r="I1" s="16" t="inlineStr">
        <is>
          <t>evidence_strength</t>
        </is>
      </c>
      <c r="J1" s="16" t="inlineStr">
        <is>
          <t>confidence</t>
        </is>
      </c>
      <c r="K1" s="16" t="inlineStr">
        <is>
          <t>status</t>
        </is>
      </c>
      <c r="L1" s="16" t="inlineStr">
        <is>
          <t>impact</t>
        </is>
      </c>
      <c r="M1" s="16" t="inlineStr">
        <is>
          <t>urgency</t>
        </is>
      </c>
      <c r="N1" s="16" t="inlineStr">
        <is>
          <t>recommendation</t>
        </is>
      </c>
    </row>
    <row r="2">
      <c r="A2" s="17" t="inlineStr">
        <is>
          <t>SA-01</t>
        </is>
      </c>
      <c r="B2" s="17" t="inlineStr">
        <is>
          <t>legal_regulatory</t>
        </is>
      </c>
      <c r="C2" s="17" t="inlineStr">
        <is>
          <t>ECO-01</t>
        </is>
      </c>
      <c r="D2" s="17" t="inlineStr">
        <is>
          <t>software</t>
        </is>
      </c>
      <c r="E2" s="17" t="inlineStr">
        <is>
          <t>app</t>
        </is>
      </c>
      <c r="F2" s="18" t="inlineStr">
        <is>
          <t>Posicionar o app como diagnostico ou tratamento de TDAH pode acionar o regime de Software como Dispositivo Medico da Anvisa.</t>
        </is>
      </c>
      <c r="G2" s="18" t="inlineStr">
        <is>
          <t>Fonte SRC-RG8-ANVISA-SAMD no dashboard: 'RDC 657/2022 - Software como Dispositivo Medico... Enquadramento SaMD depende da indicacao e funcao; software que diagnostica/trata pode entrar no regime regulatorio.'</t>
        </is>
      </c>
      <c r="H2" s="17" t="inlineStr">
        <is>
          <t>DOC-C07-009</t>
        </is>
      </c>
      <c r="I2" s="17" t="inlineStr">
        <is>
          <t>strong</t>
        </is>
      </c>
      <c r="J2" s="17" t="inlineStr">
        <is>
          <t>0.9</t>
        </is>
      </c>
      <c r="K2" s="17" t="inlineStr">
        <is>
          <t>fact</t>
        </is>
      </c>
      <c r="L2" s="17" t="inlineStr">
        <is>
          <t>high</t>
        </is>
      </c>
      <c r="M2" s="17" t="inlineStr">
        <is>
          <t>high</t>
        </is>
      </c>
      <c r="N2" s="18" t="inlineStr">
        <is>
          <t>Manter POSITION-01 e CLAIM-01 como travas de copy e submeter o texto final de lancamento a revisao juridica antes de 07/09.</t>
        </is>
      </c>
    </row>
    <row r="3">
      <c r="A3" s="17" t="inlineStr">
        <is>
          <t>SA-01</t>
        </is>
      </c>
      <c r="B3" s="17" t="inlineStr">
        <is>
          <t>legal_regulatory</t>
        </is>
      </c>
      <c r="C3" s="17" t="inlineStr">
        <is>
          <t>ECO-01</t>
        </is>
      </c>
      <c r="D3" s="17" t="inlineStr">
        <is>
          <t>software</t>
        </is>
      </c>
      <c r="E3" s="17" t="inlineStr">
        <is>
          <t>app</t>
        </is>
      </c>
      <c r="F3" s="18" t="inlineStr">
        <is>
          <t>Coletar diagnostico de TDAH no onboarding transformaria a base em dado pessoal sensivel sob a LGPD, sem necessidade funcional.</t>
        </is>
      </c>
      <c r="G3" s="18" t="inlineStr">
        <is>
          <t>Fonte SRC-RG8-ANPD-LGPD: 'Dado referente a saude e dado pessoal sensivel; minimizacao favorece nao coletar diagnostico quando desnecessario.' Decisao ICP-01: 'diagnostico nao define o ICP comercial inicial'.</t>
        </is>
      </c>
      <c r="H3" s="17" t="inlineStr">
        <is>
          <t>DOC-C07-009</t>
        </is>
      </c>
      <c r="I3" s="17" t="inlineStr">
        <is>
          <t>strong</t>
        </is>
      </c>
      <c r="J3" s="17" t="inlineStr">
        <is>
          <t>0.9</t>
        </is>
      </c>
      <c r="K3" s="17" t="inlineStr">
        <is>
          <t>fact</t>
        </is>
      </c>
      <c r="L3" s="17" t="inlineStr">
        <is>
          <t>high</t>
        </is>
      </c>
      <c r="M3" s="17" t="inlineStr">
        <is>
          <t>medium</t>
        </is>
      </c>
      <c r="N3" s="18" t="inlineStr">
        <is>
          <t>Manter diagnostico como variavel opcional pos-ativacao, com base legal e finalidade declaradas, nunca como criterio de entrada.</t>
        </is>
      </c>
    </row>
    <row r="4">
      <c r="A4" s="17" t="inlineStr">
        <is>
          <t>SA-01</t>
        </is>
      </c>
      <c r="B4" s="17" t="inlineStr">
        <is>
          <t>legal_regulatory</t>
        </is>
      </c>
      <c r="C4" s="17" t="inlineStr">
        <is>
          <t>ECO-02</t>
        </is>
      </c>
      <c r="D4" s="17" t="inlineStr">
        <is>
          <t>content_community</t>
        </is>
      </c>
      <c r="E4" s="17" t="inlineStr">
        <is>
          <t>owned_web</t>
        </is>
      </c>
      <c r="F4" s="18" t="inlineStr">
        <is>
          <t>A politica de claims proibe hoje seis formulacoes clinicas no conteudo editorial e comercial.</t>
        </is>
      </c>
      <c r="G4" s="18" t="inlineStr">
        <is>
          <t>claims_policy.prohibited_now: 'Reduz sintomas de TDAH', 'Melhora funcao executiva clinicamente', 'Trata TDAH', 'Diagnostica ou identifica TDAH', 'Substitui terapia, tratamento ou medicacao', 'Cientificamente comprovado para TDAH'.</t>
        </is>
      </c>
      <c r="H4" s="17" t="inlineStr">
        <is>
          <t>DOC-C07-009</t>
        </is>
      </c>
      <c r="I4" s="17" t="inlineStr">
        <is>
          <t>strong</t>
        </is>
      </c>
      <c r="J4" s="17" t="inlineStr">
        <is>
          <t>0.9</t>
        </is>
      </c>
      <c r="K4" s="17" t="inlineStr">
        <is>
          <t>fact</t>
        </is>
      </c>
      <c r="L4" s="17" t="inlineStr">
        <is>
          <t>high</t>
        </is>
      </c>
      <c r="M4" s="17" t="inlineStr">
        <is>
          <t>high</t>
        </is>
      </c>
      <c r="N4" s="18" t="inlineStr">
        <is>
          <t>Transformar a lista em checklist de QA editorial obrigatorio antes de publicar cada peca (PECA-001/002/003).</t>
        </is>
      </c>
    </row>
    <row r="5">
      <c r="A5" s="17" t="inlineStr">
        <is>
          <t>SA-01</t>
        </is>
      </c>
      <c r="B5" s="17" t="inlineStr">
        <is>
          <t>ethical</t>
        </is>
      </c>
      <c r="C5" s="17" t="inlineStr">
        <is>
          <t>ECO-03</t>
        </is>
      </c>
      <c r="D5" s="17" t="inlineStr">
        <is>
          <t>digital_product</t>
        </is>
      </c>
      <c r="E5" s="17" t="n"/>
      <c r="F5" s="18" t="inlineStr">
        <is>
          <t>Qualquer estudo proprio de eficacia com participantes humanos fica sujeito a Resolucao CNS 466/2012.</t>
        </is>
      </c>
      <c r="G5" s="18" t="inlineStr">
        <is>
          <t>Fonte SRC-RG8-CNS-466: 'Resolucao CNS 466/2012'; decisao EFFICACY-01 exige 'protocolo proprio, diagnostico confirmado, instrumento validado, comparador e revisao etica aplicavel'.</t>
        </is>
      </c>
      <c r="H5" s="17" t="inlineStr">
        <is>
          <t>DOC-C07-009;DOC-C02-015</t>
        </is>
      </c>
      <c r="I5" s="17" t="inlineStr">
        <is>
          <t>strong</t>
        </is>
      </c>
      <c r="J5" s="17" t="inlineStr">
        <is>
          <t>0.85</t>
        </is>
      </c>
      <c r="K5" s="17" t="inlineStr">
        <is>
          <t>fact</t>
        </is>
      </c>
      <c r="L5" s="17" t="inlineStr">
        <is>
          <t>medium</t>
        </is>
      </c>
      <c r="M5" s="17" t="inlineStr">
        <is>
          <t>medium</t>
        </is>
      </c>
      <c r="N5" s="18" t="inlineStr">
        <is>
          <t>Separar o piloto exploratorio de 10-20 participantes (validacao de framework) de um eventual estudo clinico, que exigira CEP/CONEP.</t>
        </is>
      </c>
    </row>
    <row r="6">
      <c r="A6" s="17" t="inlineStr">
        <is>
          <t>SA-01</t>
        </is>
      </c>
      <c r="B6" s="17" t="inlineStr">
        <is>
          <t>social</t>
        </is>
      </c>
      <c r="C6" s="17" t="inlineStr">
        <is>
          <t>ECO-01</t>
        </is>
      </c>
      <c r="D6" s="17" t="inlineStr">
        <is>
          <t>software</t>
        </is>
      </c>
      <c r="E6" s="17" t="inlineStr">
        <is>
          <t>app</t>
        </is>
      </c>
      <c r="F6" s="18" t="inlineStr">
        <is>
          <t>O Brasil tinha 26,1 milhoes de trabalhadores por conta propria em 2025, contexto do ICP de profissionais independentes.</t>
        </is>
      </c>
      <c r="G6" s="18" t="inlineStr">
        <is>
          <t>Finding BRA-MKT-01, fonte SRC-RG8-IBGE-SELFEMPLOYED-2025 (PNAD Continua): '26,1 milhoes de trabalhadores por conta propria em 2025'. Uso declarado: 'Contexto de mercado; nao equivale a TAM do EXECUTAR.'</t>
        </is>
      </c>
      <c r="H6" s="17" t="inlineStr">
        <is>
          <t>DOC-C07-009</t>
        </is>
      </c>
      <c r="I6" s="17" t="inlineStr">
        <is>
          <t>strong</t>
        </is>
      </c>
      <c r="J6" s="17" t="inlineStr">
        <is>
          <t>0.9</t>
        </is>
      </c>
      <c r="K6" s="17" t="inlineStr">
        <is>
          <t>fact</t>
        </is>
      </c>
      <c r="L6" s="17" t="inlineStr">
        <is>
          <t>medium</t>
        </is>
      </c>
      <c r="M6" s="17" t="inlineStr">
        <is>
          <t>low</t>
        </is>
      </c>
      <c r="N6" s="18" t="inlineStr">
        <is>
          <t>Usar como contexto de mercado; nao converter em TAM sem taxa de adocao e disposicao a pagar observadas.</t>
        </is>
      </c>
    </row>
    <row r="7">
      <c r="A7" s="17" t="inlineStr">
        <is>
          <t>SA-01</t>
        </is>
      </c>
      <c r="B7" s="17" t="inlineStr">
        <is>
          <t>technological</t>
        </is>
      </c>
      <c r="C7" s="17" t="inlineStr">
        <is>
          <t>ECO-01</t>
        </is>
      </c>
      <c r="D7" s="17" t="inlineStr">
        <is>
          <t>software</t>
        </is>
      </c>
      <c r="E7" s="17" t="inlineStr">
        <is>
          <t>app</t>
        </is>
      </c>
      <c r="F7" s="18" t="inlineStr">
        <is>
          <t>O acesso a internet no Brasil e majoritariamente movel, sustentando arquitetura mobile-first.</t>
        </is>
      </c>
      <c r="G7" s="18" t="inlineStr">
        <is>
          <t>Finding BRA-MOBILE-01 (IBGE 2025): '90,5% da populacao de 10+ usava internet e 98,7% dos usuarios acessavam por celular'. Uso: 'Sustenta estrategia mobile-first; nao prova preferencia especifica do ICP.'</t>
        </is>
      </c>
      <c r="H7" s="17" t="inlineStr">
        <is>
          <t>DOC-C07-009</t>
        </is>
      </c>
      <c r="I7" s="17" t="inlineStr">
        <is>
          <t>strong</t>
        </is>
      </c>
      <c r="J7" s="17" t="inlineStr">
        <is>
          <t>0.85</t>
        </is>
      </c>
      <c r="K7" s="17" t="inlineStr">
        <is>
          <t>fact</t>
        </is>
      </c>
      <c r="L7" s="17" t="inlineStr">
        <is>
          <t>medium</t>
        </is>
      </c>
      <c r="M7" s="17" t="inlineStr">
        <is>
          <t>medium</t>
        </is>
      </c>
      <c r="N7" s="18" t="inlineStr">
        <is>
          <t>Manter o teste de rota em celular como criterio de aceite das paginas (ja previsto em PAG-001/002/003).</t>
        </is>
      </c>
    </row>
    <row r="8">
      <c r="A8" s="17" t="inlineStr">
        <is>
          <t>SA-01</t>
        </is>
      </c>
      <c r="B8" s="17" t="inlineStr">
        <is>
          <t>economic</t>
        </is>
      </c>
      <c r="C8" s="17" t="inlineStr">
        <is>
          <t>ECO-03</t>
        </is>
      </c>
      <c r="D8" s="17" t="inlineStr">
        <is>
          <t>digital_product</t>
        </is>
      </c>
      <c r="E8" s="17" t="n"/>
      <c r="F8" s="18" t="inlineStr">
        <is>
          <t>Ha estimativas internacionais de carga economica excedente associada ao TDAH adulto que sustentam o problema, mas nao sao perda individual.</t>
        </is>
      </c>
      <c r="G8" s="18" t="inlineStr">
        <is>
          <t>RC-003: 'US$ 14.092 de custo excedente por adulto/ano'; RC-004: 'EUR 15.652 por adulto diagnosticado/ano'; guardrail: 'valor e carga economica/social media, nao perda literal individual'.</t>
        </is>
      </c>
      <c r="H8" s="17" t="inlineStr">
        <is>
          <t>DOC-C02-021;DOC-C02-032;DOC-C02-043</t>
        </is>
      </c>
      <c r="I8" s="17" t="inlineStr">
        <is>
          <t>strong</t>
        </is>
      </c>
      <c r="J8" s="17" t="inlineStr">
        <is>
          <t>0.85</t>
        </is>
      </c>
      <c r="K8" s="17" t="inlineStr">
        <is>
          <t>fact</t>
        </is>
      </c>
      <c r="L8" s="17" t="inlineStr">
        <is>
          <t>medium</t>
        </is>
      </c>
      <c r="M8" s="17" t="inlineStr">
        <is>
          <t>medium</t>
        </is>
      </c>
      <c r="N8" s="18" t="inlineStr">
        <is>
          <t>Usar como lastro do problema no artigo fundador sempre com a ressalva metodologica ja escrita na propria fonte.</t>
        </is>
      </c>
    </row>
    <row r="9">
      <c r="A9" s="17" t="inlineStr">
        <is>
          <t>SA-01</t>
        </is>
      </c>
      <c r="B9" s="17" t="inlineStr">
        <is>
          <t>social</t>
        </is>
      </c>
      <c r="C9" s="17" t="inlineStr">
        <is>
          <t>ECO-02</t>
        </is>
      </c>
      <c r="D9" s="17" t="inlineStr">
        <is>
          <t>content_community</t>
        </is>
      </c>
      <c r="E9" s="17" t="inlineStr">
        <is>
          <t>owned_web</t>
        </is>
      </c>
      <c r="F9" s="18" t="inlineStr">
        <is>
          <t>Evidencia brasileira populacional associa rastreio positivo de TDAH a maior desemprego, com n=2.297 e 4,59% de rastreio positivo.</t>
        </is>
      </c>
      <c r="G9" s="18" t="inlineStr">
        <is>
          <t>RC-SRC-004 (Mattos et al., 2024, J Atten Disord): 'n=2.297; 4,59% de TDAH sintomatico (IC95% 3,56-5,44)'; limitacao registrada: 'ASRS-6 e screener; nao apresentar 4,59% como prevalencia diagnostica nacional'.</t>
        </is>
      </c>
      <c r="H9" s="17" t="inlineStr">
        <is>
          <t>DOC-C02-032;DOC-C02-021</t>
        </is>
      </c>
      <c r="I9" s="17" t="inlineStr">
        <is>
          <t>strong</t>
        </is>
      </c>
      <c r="J9" s="17" t="inlineStr">
        <is>
          <t>0.9</t>
        </is>
      </c>
      <c r="K9" s="17" t="inlineStr">
        <is>
          <t>fact</t>
        </is>
      </c>
      <c r="L9" s="17" t="inlineStr">
        <is>
          <t>medium</t>
        </is>
      </c>
      <c r="M9" s="17" t="inlineStr">
        <is>
          <t>medium</t>
        </is>
      </c>
      <c r="N9" s="18" t="inlineStr">
        <is>
          <t>Citar como principal evidencia brasileira e reproduzir a limitacao no proprio corpo do artigo.</t>
        </is>
      </c>
    </row>
    <row r="10">
      <c r="A10" s="17" t="inlineStr">
        <is>
          <t>SA-01</t>
        </is>
      </c>
      <c r="B10" s="17" t="inlineStr">
        <is>
          <t>social</t>
        </is>
      </c>
      <c r="C10" s="17" t="inlineStr">
        <is>
          <t>ECO-02</t>
        </is>
      </c>
      <c r="D10" s="17" t="inlineStr">
        <is>
          <t>content_community</t>
        </is>
      </c>
      <c r="E10" s="17" t="inlineStr">
        <is>
          <t>owned_web</t>
        </is>
      </c>
      <c r="F10" s="18" t="inlineStr">
        <is>
          <t>Amostra brasileira de empreendedores mostrou 27,4% com rastreio positivo, sem associacao significativa com lucro.</t>
        </is>
      </c>
      <c r="G10" s="18" t="inlineStr">
        <is>
          <t>RC-006: 'Em amostra selecionada de 259 empreendedores, 71 (27,4%) preencheram criterios'; DOC-C02-042: 'maior risk-taking, menor proatividade e nenhuma associacao significativa com lucro'; guardrail: nao generalizar.</t>
        </is>
      </c>
      <c r="H10" s="17" t="inlineStr">
        <is>
          <t>DOC-C02-021;DOC-C02-042;DOC-C02-032</t>
        </is>
      </c>
      <c r="I10" s="17" t="inlineStr">
        <is>
          <t>moderate</t>
        </is>
      </c>
      <c r="J10" s="17" t="inlineStr">
        <is>
          <t>0.8</t>
        </is>
      </c>
      <c r="K10" s="17" t="inlineStr">
        <is>
          <t>fact</t>
        </is>
      </c>
      <c r="L10" s="17" t="inlineStr">
        <is>
          <t>medium</t>
        </is>
      </c>
      <c r="M10" s="17" t="inlineStr">
        <is>
          <t>low</t>
        </is>
      </c>
      <c r="N10" s="18" t="inlineStr">
        <is>
          <t>Usar no eixo empreendedorismo/trabalho autonomo apenas como sinal, nunca como prevalencia do segmento.</t>
        </is>
      </c>
    </row>
    <row r="11">
      <c r="A11" s="17" t="inlineStr">
        <is>
          <t>SA-01</t>
        </is>
      </c>
      <c r="B11" s="17" t="inlineStr">
        <is>
          <t>social</t>
        </is>
      </c>
      <c r="C11" s="17" t="inlineStr">
        <is>
          <t>ECO-02</t>
        </is>
      </c>
      <c r="D11" s="17" t="inlineStr">
        <is>
          <t>content_community</t>
        </is>
      </c>
      <c r="E11" s="17" t="inlineStr">
        <is>
          <t>owned_web</t>
        </is>
      </c>
      <c r="F11" s="18" t="inlineStr">
        <is>
          <t>Ha evidencia internacional citada de 17,4% de demissoes em adultos com TDAH contra 3,7% em controles.</t>
        </is>
      </c>
      <c r="G11" s="18" t="inlineStr">
        <is>
          <t>RC-007: 'Estudo internacional citado reportou 17,4% de demissao em adultos com TDAH'; nota: 'A diferenca e aproximadamente 4,7 vezes, mas nao e dado brasileiro'.</t>
        </is>
      </c>
      <c r="H11" s="17" t="inlineStr">
        <is>
          <t>DOC-C02-021;DOC-C02-043</t>
        </is>
      </c>
      <c r="I11" s="17" t="inlineStr">
        <is>
          <t>moderate</t>
        </is>
      </c>
      <c r="J11" s="17" t="inlineStr">
        <is>
          <t>0.75</t>
        </is>
      </c>
      <c r="K11" s="17" t="inlineStr">
        <is>
          <t>fact</t>
        </is>
      </c>
      <c r="L11" s="17" t="inlineStr">
        <is>
          <t>medium</t>
        </is>
      </c>
      <c r="M11" s="17" t="inlineStr">
        <is>
          <t>low</t>
        </is>
      </c>
      <c r="N11" s="18" t="inlineStr">
        <is>
          <t>Rotular explicitamente como dado internacional ao usar em peca brasileira.</t>
        </is>
      </c>
    </row>
    <row r="12">
      <c r="A12" s="17" t="inlineStr">
        <is>
          <t>SA-01</t>
        </is>
      </c>
      <c r="B12" s="17" t="inlineStr">
        <is>
          <t>competitive_political</t>
        </is>
      </c>
      <c r="C12" s="17" t="inlineStr">
        <is>
          <t>ECO-03</t>
        </is>
      </c>
      <c r="D12" s="17" t="inlineStr">
        <is>
          <t>digital_product</t>
        </is>
      </c>
      <c r="E12" s="17" t="n"/>
      <c r="F12" s="18" t="inlineStr">
        <is>
          <t>A APM publicou em 26/08/2026 a formulacao de que projetos tambem podem falhar cognitivamente, criando adjacencia temporal muito proxima a tese.</t>
        </is>
      </c>
      <c r="G12" s="18" t="inlineStr">
        <is>
          <t>DOC-C02-042 (Alerta): 'Sarah Gardner... publicou na APM em 26/08/2026 a formulacao de que projetos tambem podem falhar cognitivamente, embora seu foco seja IA, julgamento e governanca'; RC-TERM-009 marca STATUS SINAL_RECENTE.</t>
        </is>
      </c>
      <c r="H12" s="17" t="inlineStr">
        <is>
          <t>DOC-C02-042;DOC-C02-030;DOC-C02-022</t>
        </is>
      </c>
      <c r="I12" s="17" t="inlineStr">
        <is>
          <t>strong</t>
        </is>
      </c>
      <c r="J12" s="17" t="inlineStr">
        <is>
          <t>0.85</t>
        </is>
      </c>
      <c r="K12" s="17" t="inlineStr">
        <is>
          <t>fact</t>
        </is>
      </c>
      <c r="L12" s="17" t="inlineStr">
        <is>
          <t>high</t>
        </is>
      </c>
      <c r="M12" s="17" t="inlineStr">
        <is>
          <t>high</t>
        </is>
      </c>
      <c r="N12" s="18" t="inlineStr">
        <is>
          <t>Acelerar o registro publico da formulacao propria (artigo fundador datado + white paper) para preservar anterioridade documentada.</t>
        </is>
      </c>
    </row>
    <row r="13">
      <c r="A13" s="17" t="inlineStr">
        <is>
          <t>SA-01</t>
        </is>
      </c>
      <c r="B13" s="17" t="inlineStr">
        <is>
          <t>economic</t>
        </is>
      </c>
      <c r="C13" s="17" t="inlineStr">
        <is>
          <t>ECO-02</t>
        </is>
      </c>
      <c r="D13" s="17" t="inlineStr">
        <is>
          <t>content_community</t>
        </is>
      </c>
      <c r="E13" s="17" t="inlineStr">
        <is>
          <t>owned_web</t>
        </is>
      </c>
      <c r="F13" s="18" t="inlineStr">
        <is>
          <t>O material interno cita R$ 3.498 como custo de avaliacao neuropsicologica, tratado como barreira economica de acesso ao diagnostico.</t>
        </is>
      </c>
      <c r="G13" s="18" t="inlineStr">
        <is>
          <t>QT-0143: 'Custo citado de avaliacao neuropsicologica: 3498.0 R$'; observacao da propria fonte: 'A imagem cita a referencia por numero, mas a lista bibliografica [1]-[8] nao esta no material anexado'.</t>
        </is>
      </c>
      <c r="H13" s="17" t="inlineStr">
        <is>
          <t>DOC-C07-007;DOC-C07-009</t>
        </is>
      </c>
      <c r="I13" s="17" t="inlineStr">
        <is>
          <t>weak</t>
        </is>
      </c>
      <c r="J13" s="17" t="inlineStr">
        <is>
          <t>0.45</t>
        </is>
      </c>
      <c r="K13" s="17" t="inlineStr">
        <is>
          <t>fact</t>
        </is>
      </c>
      <c r="L13" s="17" t="inlineStr">
        <is>
          <t>low</t>
        </is>
      </c>
      <c r="M13" s="17" t="inlineStr">
        <is>
          <t>low</t>
        </is>
      </c>
      <c r="N13" s="18" t="inlineStr">
        <is>
          <t>Nao publicar esse numero antes de recuperar a referencia primaria [6]; hoje ele e transcricao de imagem sem fonte resolvida.</t>
        </is>
      </c>
    </row>
    <row r="14">
      <c r="A14" s="17" t="inlineStr">
        <is>
          <t>SA-01</t>
        </is>
      </c>
      <c r="B14" s="17" t="inlineStr">
        <is>
          <t>environmental</t>
        </is>
      </c>
      <c r="C14" s="17" t="inlineStr">
        <is>
          <t>ECO-01</t>
        </is>
      </c>
      <c r="D14" s="17" t="inlineStr">
        <is>
          <t>software</t>
        </is>
      </c>
      <c r="E14" s="17" t="n"/>
      <c r="F14" s="18" t="inlineStr">
        <is>
          <t>Nao ha analise PESTEL formal por unidade no acervo; os fatores existem dispersos em fontes de evidencia e decisao.</t>
        </is>
      </c>
      <c r="G14" s="18" t="inlineStr">
        <is>
          <t>Nenhum documento lido apresenta secao PESTEL; os fatores regulatorios estao no dashboard de sintese e os sociais/economicos nas bases de evidencia.</t>
        </is>
      </c>
      <c r="H14" s="17" t="inlineStr">
        <is>
          <t>DOC-C07-009;DOC-C02-032</t>
        </is>
      </c>
      <c r="I14" s="17" t="inlineStr">
        <is>
          <t>none</t>
        </is>
      </c>
      <c r="J14" s="17" t="inlineStr">
        <is>
          <t>0.6</t>
        </is>
      </c>
      <c r="K14" s="17" t="inlineStr">
        <is>
          <t>gap</t>
        </is>
      </c>
      <c r="L14" s="17" t="inlineStr">
        <is>
          <t>low</t>
        </is>
      </c>
      <c r="M14" s="17" t="inlineStr">
        <is>
          <t>low</t>
        </is>
      </c>
      <c r="N14" s="18" t="inlineStr">
        <is>
          <t>Consolidar um PESTEL de uma pagina por unidade a partir das fontes ja catalogadas, sem pesquisa nova.</t>
        </is>
      </c>
    </row>
    <row r="15">
      <c r="A15" s="17" t="inlineStr">
        <is>
          <t>SA-02</t>
        </is>
      </c>
      <c r="B15" s="17" t="inlineStr">
        <is>
          <t>rivalry</t>
        </is>
      </c>
      <c r="C15" s="17" t="inlineStr">
        <is>
          <t>ECO-01</t>
        </is>
      </c>
      <c r="D15" s="17" t="inlineStr">
        <is>
          <t>software</t>
        </is>
      </c>
      <c r="E15" s="17" t="inlineStr">
        <is>
          <t>app</t>
        </is>
      </c>
      <c r="F15" s="18" t="inlineStr">
        <is>
          <t>Os concorrentes diretos citados sao ferramentas horizontais de produtividade com limitacoes documentadas para o publico-alvo.</t>
        </is>
      </c>
      <c r="G15" s="18" t="inlineStr">
        <is>
          <t>QL-000053: 'Trello... necessitando de plug-ins adicionais para rastrear progresso'; QL-000054: 'Todoist... limitado para iniciar tarefas e sem recursos de regulacao emocional'; QT-000172: '30,0% dos usuarios com TDAH consideram o Notion dificil de configurar/usar'.</t>
        </is>
      </c>
      <c r="H15" s="17" t="inlineStr">
        <is>
          <t>DOC-C07-007;DOC-C07-009</t>
        </is>
      </c>
      <c r="I15" s="17" t="inlineStr">
        <is>
          <t>moderate</t>
        </is>
      </c>
      <c r="J15" s="17" t="inlineStr">
        <is>
          <t>0.7</t>
        </is>
      </c>
      <c r="K15" s="17" t="inlineStr">
        <is>
          <t>fact</t>
        </is>
      </c>
      <c r="L15" s="17" t="inlineStr">
        <is>
          <t>high</t>
        </is>
      </c>
      <c r="M15" s="17" t="inlineStr">
        <is>
          <t>high</t>
        </is>
      </c>
      <c r="N15" s="18" t="inlineStr">
        <is>
          <t>Ancorar o posicionamento na lacuna de iniciacao e retomada, nao em paridade de features com Notion/Trello/Todoist.</t>
        </is>
      </c>
    </row>
    <row r="16">
      <c r="A16" s="17" t="inlineStr">
        <is>
          <t>SA-02</t>
        </is>
      </c>
      <c r="B16" s="17" t="inlineStr">
        <is>
          <t>rivalry</t>
        </is>
      </c>
      <c r="C16" s="17" t="inlineStr">
        <is>
          <t>ECO-01</t>
        </is>
      </c>
      <c r="D16" s="17" t="inlineStr">
        <is>
          <t>software</t>
        </is>
      </c>
      <c r="E16" s="17" t="inlineStr">
        <is>
          <t>app</t>
        </is>
      </c>
      <c r="F16" s="18" t="inlineStr">
        <is>
          <t>Existem concorrentes com evidencia clinica ou aprovacao regulatoria que o EXECUTAR nao pode igualar hoje.</t>
        </is>
      </c>
      <c r="G16" s="18" t="inlineStr">
        <is>
          <t>QT-000177: 'Eficacia de app baseado em TCC (estudo aberto do app Inflow)'; QT-000178/179: 'videogame terapeutico aprovado por agencia regulatoria... p&lt;0.0001... 72,5% melhoria na qualidade de vida (STARS-ADHD-Adult)'.</t>
        </is>
      </c>
      <c r="H16" s="17" t="inlineStr">
        <is>
          <t>DOC-C07-007;DOC-C07-009</t>
        </is>
      </c>
      <c r="I16" s="17" t="inlineStr">
        <is>
          <t>moderate</t>
        </is>
      </c>
      <c r="J16" s="17" t="inlineStr">
        <is>
          <t>0.75</t>
        </is>
      </c>
      <c r="K16" s="17" t="inlineStr">
        <is>
          <t>fact</t>
        </is>
      </c>
      <c r="L16" s="17" t="inlineStr">
        <is>
          <t>high</t>
        </is>
      </c>
      <c r="M16" s="17" t="inlineStr">
        <is>
          <t>high</t>
        </is>
      </c>
      <c r="N16" s="18" t="inlineStr">
        <is>
          <t>Competir por eficacia funcional (time-to-next-action, resume latency), terreno onde nao ha comparador regulado, e nao por desfecho clinico.</t>
        </is>
      </c>
    </row>
    <row r="17">
      <c r="A17" s="17" t="inlineStr">
        <is>
          <t>SA-02</t>
        </is>
      </c>
      <c r="B17" s="17" t="inlineStr">
        <is>
          <t>supplier_power</t>
        </is>
      </c>
      <c r="C17" s="17" t="inlineStr">
        <is>
          <t>ECO-01</t>
        </is>
      </c>
      <c r="D17" s="17" t="inlineStr">
        <is>
          <t>software</t>
        </is>
      </c>
      <c r="E17" s="17" t="inlineStr">
        <is>
          <t>app</t>
        </is>
      </c>
      <c r="F17" s="18" t="inlineStr">
        <is>
          <t>A operacao depende de fornecedores externos criticos cuja falha bloqueia o lancamento.</t>
        </is>
      </c>
      <c r="G17" s="18" t="inlineStr">
        <is>
          <t>DOC-C06-001 lista dependencias externas Amazon e Hotmart iniciadas em D1 e reserva de 12h para 'problema de CMS/Hotmart, formulario, link'; DOC-C02-017 fixa Vercel + Payload + PostgreSQL/Neon + Vercel Blob.</t>
        </is>
      </c>
      <c r="H17" s="17" t="inlineStr">
        <is>
          <t>DOC-C06-001;DOC-C02-017</t>
        </is>
      </c>
      <c r="I17" s="17" t="inlineStr">
        <is>
          <t>moderate</t>
        </is>
      </c>
      <c r="J17" s="17" t="inlineStr">
        <is>
          <t>0.65</t>
        </is>
      </c>
      <c r="K17" s="17" t="inlineStr">
        <is>
          <t>inference</t>
        </is>
      </c>
      <c r="L17" s="17" t="inlineStr">
        <is>
          <t>medium</t>
        </is>
      </c>
      <c r="M17" s="17" t="inlineStr">
        <is>
          <t>medium</t>
        </is>
      </c>
      <c r="N17" s="18" t="inlineStr">
        <is>
          <t>Registrar Amazon Associados, Hotmart, Vercel e Neon como riscos de fornecedor com plano B explicito no mapa de dependencias.</t>
        </is>
      </c>
    </row>
    <row r="18">
      <c r="A18" s="17" t="inlineStr">
        <is>
          <t>SA-02</t>
        </is>
      </c>
      <c r="B18" s="17" t="inlineStr">
        <is>
          <t>buyer_power</t>
        </is>
      </c>
      <c r="C18" s="17" t="inlineStr">
        <is>
          <t>ECO-01</t>
        </is>
      </c>
      <c r="D18" s="17" t="inlineStr">
        <is>
          <t>software</t>
        </is>
      </c>
      <c r="E18" s="17" t="inlineStr">
        <is>
          <t>app</t>
        </is>
      </c>
      <c r="F18" s="18" t="inlineStr">
        <is>
          <t>O ICP escolhido controla ou influencia a propria compra, o que elimina ciclo de aprovacao mas expoe a decisao a preco.</t>
        </is>
      </c>
      <c r="G18" s="18" t="inlineStr">
        <is>
          <t>ICP comercial no dashboard: 'Profissional independente/solo brasileiro... e controla/influencia a propria compra'; faixa de teste R$29,90/49,90/79,90 com 'preco canonico ainda nao existe'.</t>
        </is>
      </c>
      <c r="H18" s="17" t="inlineStr">
        <is>
          <t>DOC-C07-009</t>
        </is>
      </c>
      <c r="I18" s="17" t="inlineStr">
        <is>
          <t>strong</t>
        </is>
      </c>
      <c r="J18" s="17" t="inlineStr">
        <is>
          <t>0.8</t>
        </is>
      </c>
      <c r="K18" s="17" t="inlineStr">
        <is>
          <t>fact</t>
        </is>
      </c>
      <c r="L18" s="17" t="inlineStr">
        <is>
          <t>medium</t>
        </is>
      </c>
      <c r="M18" s="17" t="inlineStr">
        <is>
          <t>medium</t>
        </is>
      </c>
      <c r="N18" s="18" t="inlineStr">
        <is>
          <t>Rodar PRICE-01 como experimento com coorte real antes de fixar preco de tabela na pagina de lancamento.</t>
        </is>
      </c>
    </row>
    <row r="19">
      <c r="A19" s="17" t="inlineStr">
        <is>
          <t>SA-02</t>
        </is>
      </c>
      <c r="B19" s="17" t="inlineStr">
        <is>
          <t>substitutes</t>
        </is>
      </c>
      <c r="C19" s="17" t="inlineStr">
        <is>
          <t>ECO-01</t>
        </is>
      </c>
      <c r="D19" s="17" t="inlineStr">
        <is>
          <t>software</t>
        </is>
      </c>
      <c r="E19" s="17" t="inlineStr">
        <is>
          <t>app</t>
        </is>
      </c>
      <c r="F19" s="18" t="inlineStr">
        <is>
          <t>O substituto mais provavel e o sistema analogico ou improvisado que o proprio usuario ja mantem.</t>
        </is>
      </c>
      <c r="G19" s="18" t="inlineStr">
        <is>
          <t>DOC-C05-001 descreve a categoria como sistema 'com uso digital minimo e integracao analogica' e DOC-C11-008 mostra 'o mesmo projeto no digital e no material fisico'; QL-0022 registra necessidade de 'externalizacao de funcoes executivas'.</t>
        </is>
      </c>
      <c r="H19" s="17" t="inlineStr">
        <is>
          <t>DOC-C05-001;DOC-C11-008;DOC-C07-007</t>
        </is>
      </c>
      <c r="I19" s="17" t="inlineStr">
        <is>
          <t>moderate</t>
        </is>
      </c>
      <c r="J19" s="17" t="inlineStr">
        <is>
          <t>0.6</t>
        </is>
      </c>
      <c r="K19" s="17" t="inlineStr">
        <is>
          <t>inference</t>
        </is>
      </c>
      <c r="L19" s="17" t="inlineStr">
        <is>
          <t>medium</t>
        </is>
      </c>
      <c r="M19" s="17" t="inlineStr">
        <is>
          <t>low</t>
        </is>
      </c>
      <c r="N19" s="18" t="inlineStr">
        <is>
          <t>Tratar papel/Mapa-OS como complemento monetizavel (produto fisico) em vez de concorrente a ser combatido.</t>
        </is>
      </c>
    </row>
    <row r="20">
      <c r="A20" s="17" t="inlineStr">
        <is>
          <t>SA-02</t>
        </is>
      </c>
      <c r="B20" s="17" t="inlineStr">
        <is>
          <t>new_entrants</t>
        </is>
      </c>
      <c r="C20" s="17" t="inlineStr">
        <is>
          <t>ECO-01</t>
        </is>
      </c>
      <c r="D20" s="17" t="inlineStr">
        <is>
          <t>software</t>
        </is>
      </c>
      <c r="E20" s="17" t="n"/>
      <c r="F20" s="18" t="inlineStr">
        <is>
          <t>Nao ha no acervo qualquer analise de barreiras a entrada para a categoria do app.</t>
        </is>
      </c>
      <c r="G20" s="18" t="inlineStr">
        <is>
          <t>Nenhum dos documentos lidos discute custo de entrada, efeitos de rede ou defensabilidade tecnica frente a novos entrantes.</t>
        </is>
      </c>
      <c r="H20" s="17" t="n"/>
      <c r="I20" s="17" t="inlineStr">
        <is>
          <t>none</t>
        </is>
      </c>
      <c r="J20" s="17" t="inlineStr">
        <is>
          <t>0.6</t>
        </is>
      </c>
      <c r="K20" s="17" t="inlineStr">
        <is>
          <t>gap</t>
        </is>
      </c>
      <c r="L20" s="17" t="inlineStr">
        <is>
          <t>medium</t>
        </is>
      </c>
      <c r="M20" s="17" t="inlineStr">
        <is>
          <t>low</t>
        </is>
      </c>
      <c r="N20" s="18" t="inlineStr">
        <is>
          <t>Definir explicitamente qual e o ativo defensavel (base de evidencias governada, motor de rota ou dados de execucao) antes do lancamento comercial.</t>
        </is>
      </c>
    </row>
    <row r="21">
      <c r="A21" s="17" t="inlineStr">
        <is>
          <t>SA-02</t>
        </is>
      </c>
      <c r="B21" s="17" t="inlineStr">
        <is>
          <t>rivalry</t>
        </is>
      </c>
      <c r="C21" s="17" t="inlineStr">
        <is>
          <t>ECO-02</t>
        </is>
      </c>
      <c r="D21" s="17" t="inlineStr">
        <is>
          <t>content_community</t>
        </is>
      </c>
      <c r="E21" s="17" t="inlineStr">
        <is>
          <t>owned_web</t>
        </is>
      </c>
      <c r="F21" s="18" t="inlineStr">
        <is>
          <t>O setor de conteudo sobre TDAH e descrito como segmentado em quatro categorias competitivas.</t>
        </is>
      </c>
      <c r="G21" s="18" t="inlineStr">
        <is>
          <t>QL-0017: 'O setor e segmentado em midia/autoridade medica, infoprodutores, comercio eletronico de nicho e instituicoes/clinicas.'</t>
        </is>
      </c>
      <c r="H21" s="17" t="inlineStr">
        <is>
          <t>DOC-C07-007;DOC-C07-009</t>
        </is>
      </c>
      <c r="I21" s="17" t="inlineStr">
        <is>
          <t>moderate</t>
        </is>
      </c>
      <c r="J21" s="17" t="inlineStr">
        <is>
          <t>0.7</t>
        </is>
      </c>
      <c r="K21" s="17" t="inlineStr">
        <is>
          <t>fact</t>
        </is>
      </c>
      <c r="L21" s="17" t="inlineStr">
        <is>
          <t>medium</t>
        </is>
      </c>
      <c r="M21" s="17" t="inlineStr">
        <is>
          <t>medium</t>
        </is>
      </c>
      <c r="N21" s="18" t="inlineStr">
        <is>
          <t>Escolher explicitamente contra qual categoria o Risco Cognitivo compete; hoje o material sugere uma quinta posicao (autor-investigador) nao mapeada.</t>
        </is>
      </c>
    </row>
    <row r="22">
      <c r="A22" s="17" t="inlineStr">
        <is>
          <t>SA-02</t>
        </is>
      </c>
      <c r="B22" s="17" t="inlineStr">
        <is>
          <t>rivalry</t>
        </is>
      </c>
      <c r="C22" s="17" t="inlineStr">
        <is>
          <t>ECO-03</t>
        </is>
      </c>
      <c r="D22" s="17" t="inlineStr">
        <is>
          <t>digital_product</t>
        </is>
      </c>
      <c r="E22" s="17" t="n"/>
      <c r="F22" s="18" t="inlineStr">
        <is>
          <t>O framework compete com corpos metodologicos ja consolidados, e a fonte reconhece isso.</t>
        </is>
      </c>
      <c r="G22" s="18" t="inlineStr">
        <is>
          <t>RC-TERM-007/008 classificam 'Cognitive Risk' e 'Managing Cognitive Risk' como ANTERIORIDADE; RC-012: 'PMI estrutura multiplos dominios'; RC-TERM-011/012/013 marcam ergonomia cognitiva, fatores humanos e neuroergonomia como adjacentes fortes.</t>
        </is>
      </c>
      <c r="H22" s="17" t="inlineStr">
        <is>
          <t>DOC-C02-030;DOC-C02-022;DOC-C02-031</t>
        </is>
      </c>
      <c r="I22" s="17" t="inlineStr">
        <is>
          <t>strong</t>
        </is>
      </c>
      <c r="J22" s="17" t="inlineStr">
        <is>
          <t>0.85</t>
        </is>
      </c>
      <c r="K22" s="17" t="inlineStr">
        <is>
          <t>fact</t>
        </is>
      </c>
      <c r="L22" s="17" t="inlineStr">
        <is>
          <t>high</t>
        </is>
      </c>
      <c r="M22" s="17" t="inlineStr">
        <is>
          <t>high</t>
        </is>
      </c>
      <c r="N22" s="18" t="inlineStr">
        <is>
          <t>Manter o guardrail de nao reivindicar o termo e posicionar a contribuicao como integracao especifica, conforme RC-030.</t>
        </is>
      </c>
    </row>
    <row r="23">
      <c r="A23" s="17" t="inlineStr">
        <is>
          <t>SA-02</t>
        </is>
      </c>
      <c r="B23" s="17" t="inlineStr">
        <is>
          <t>rivalry</t>
        </is>
      </c>
      <c r="C23" s="17" t="inlineStr">
        <is>
          <t>ECO-07</t>
        </is>
      </c>
      <c r="D23" s="17" t="inlineStr">
        <is>
          <t>professional_service</t>
        </is>
      </c>
      <c r="E23" s="17" t="inlineStr">
        <is>
          <t>direct_sales</t>
        </is>
      </c>
      <c r="F23" s="18" t="inlineStr">
        <is>
          <t>Nao ha mapeamento de concorrentes para o Estudio no acervo lido.</t>
        </is>
      </c>
      <c r="G23" s="18" t="inlineStr">
        <is>
          <t>DOC-C09-006, DOC-C12-006 e DOC-C12-007 definem oferta, pagina e formulario, mas nenhum documento nomeia concorrentes de automacao/consultoria.</t>
        </is>
      </c>
      <c r="H23" s="17" t="inlineStr">
        <is>
          <t>DOC-C09-006;DOC-C12-006;DOC-C12-007</t>
        </is>
      </c>
      <c r="I23" s="17" t="inlineStr">
        <is>
          <t>none</t>
        </is>
      </c>
      <c r="J23" s="17" t="inlineStr">
        <is>
          <t>0.7</t>
        </is>
      </c>
      <c r="K23" s="17" t="inlineStr">
        <is>
          <t>gap</t>
        </is>
      </c>
      <c r="L23" s="17" t="inlineStr">
        <is>
          <t>medium</t>
        </is>
      </c>
      <c r="M23" s="17" t="inlineStr">
        <is>
          <t>medium</t>
        </is>
      </c>
      <c r="N23" s="18" t="inlineStr">
        <is>
          <t>Levantar 5 comparaveis de consultoria de automacao no Brasil antes de fixar o preco de R$700 como diferencial.</t>
        </is>
      </c>
    </row>
    <row r="24">
      <c r="A24" s="17" t="inlineStr">
        <is>
          <t>SA-03A</t>
        </is>
      </c>
      <c r="B24" s="17" t="inlineStr">
        <is>
          <t>category_definition</t>
        </is>
      </c>
      <c r="C24" s="17" t="inlineStr">
        <is>
          <t>ECO-01</t>
        </is>
      </c>
      <c r="D24" s="17" t="inlineStr">
        <is>
          <t>software</t>
        </is>
      </c>
      <c r="E24" s="17" t="inlineStr">
        <is>
          <t>app</t>
        </is>
      </c>
      <c r="F24" s="18" t="inlineStr">
        <is>
          <t>A categoria declarada do produto e sistema de gestao de processos, projetos, tarefas e workflows orientado a execucao.</t>
        </is>
      </c>
      <c r="G24" s="18" t="inlineStr">
        <is>
          <t>DOC-C05-001, item 03 do index: 'Sistema de gestao de processos, projetos, tarefas e workflows, orientado a execucao, adaptado as vulnerabilidades do usuario, com uso digital minimo e integracao analogica'.</t>
        </is>
      </c>
      <c r="H24" s="17" t="inlineStr">
        <is>
          <t>DOC-C05-001</t>
        </is>
      </c>
      <c r="I24" s="17" t="inlineStr">
        <is>
          <t>strong</t>
        </is>
      </c>
      <c r="J24" s="17" t="inlineStr">
        <is>
          <t>0.9</t>
        </is>
      </c>
      <c r="K24" s="17" t="inlineStr">
        <is>
          <t>fact</t>
        </is>
      </c>
      <c r="L24" s="17" t="inlineStr">
        <is>
          <t>high</t>
        </is>
      </c>
      <c r="M24" s="17" t="inlineStr">
        <is>
          <t>medium</t>
        </is>
      </c>
      <c r="N24" s="18" t="inlineStr">
        <is>
          <t>Usar essa definicao como texto canonico da pagina inicial em vez de 'app de produtividade'.</t>
        </is>
      </c>
    </row>
    <row r="25">
      <c r="A25" s="17" t="inlineStr">
        <is>
          <t>SA-03A</t>
        </is>
      </c>
      <c r="B25" s="17" t="inlineStr">
        <is>
          <t>market_boundaries</t>
        </is>
      </c>
      <c r="C25" s="17" t="inlineStr">
        <is>
          <t>ECO-03</t>
        </is>
      </c>
      <c r="D25" s="17" t="inlineStr">
        <is>
          <t>digital_product</t>
        </is>
      </c>
      <c r="E25" s="17" t="n"/>
      <c r="F25" s="18" t="inlineStr">
        <is>
          <t>A tese explora a fronteira entre tres mercados de conteudo hoje separados.</t>
        </is>
      </c>
      <c r="G25" s="18" t="inlineStr">
        <is>
          <t>DOC-C01-005: 'Ha tres mercados de conteudo que normalmente ficam separados... neurodivergencia... produtividade pessoal... gestao de riscos'; a proposta e 'colocar uma ponte no meio'.</t>
        </is>
      </c>
      <c r="H25" s="17" t="inlineStr">
        <is>
          <t>DOC-C01-005;DOC-C03-002</t>
        </is>
      </c>
      <c r="I25" s="17" t="inlineStr">
        <is>
          <t>strong</t>
        </is>
      </c>
      <c r="J25" s="17" t="inlineStr">
        <is>
          <t>0.85</t>
        </is>
      </c>
      <c r="K25" s="17" t="inlineStr">
        <is>
          <t>fact</t>
        </is>
      </c>
      <c r="L25" s="17" t="inlineStr">
        <is>
          <t>high</t>
        </is>
      </c>
      <c r="M25" s="17" t="inlineStr">
        <is>
          <t>medium</t>
        </is>
      </c>
      <c r="N25" s="18" t="inlineStr">
        <is>
          <t>Descrever o territorio como interseccao, o que tambem explica por que nao ha benchmark direto de tamanho de mercado.</t>
        </is>
      </c>
    </row>
    <row r="26">
      <c r="A26" s="17" t="inlineStr">
        <is>
          <t>SA-03A</t>
        </is>
      </c>
      <c r="B26" s="17" t="inlineStr">
        <is>
          <t>growth</t>
        </is>
      </c>
      <c r="C26" s="17" t="inlineStr">
        <is>
          <t>ECO-02</t>
        </is>
      </c>
      <c r="D26" s="17" t="inlineStr">
        <is>
          <t>content_community</t>
        </is>
      </c>
      <c r="E26" s="17" t="inlineStr">
        <is>
          <t>owned_web</t>
        </is>
      </c>
      <c r="F26" s="18" t="inlineStr">
        <is>
          <t>O material interno registra crescimento de 576% em buscas por TDAH em 5 anos e CAGR de 25-30% (2022-2025) caindo para 10-12% (2025-2030).</t>
        </is>
      </c>
      <c r="G26" s="18" t="inlineStr">
        <is>
          <t>QT-0137 '576,0% / 5 anos'; QT-0138 '25,0-30,0% ao ano / 2022-2025'; QT-0139 '10,0-12,0% ao ano / 2025-2030'. Todos com 'base amostral: Nao informada na imagem' e 'Requer validacao na referencia original'.</t>
        </is>
      </c>
      <c r="H26" s="17" t="inlineStr">
        <is>
          <t>DOC-C07-007;DOC-C07-009</t>
        </is>
      </c>
      <c r="I26" s="17" t="inlineStr">
        <is>
          <t>weak</t>
        </is>
      </c>
      <c r="J26" s="17" t="inlineStr">
        <is>
          <t>0.45</t>
        </is>
      </c>
      <c r="K26" s="17" t="inlineStr">
        <is>
          <t>fact</t>
        </is>
      </c>
      <c r="L26" s="17" t="inlineStr">
        <is>
          <t>medium</t>
        </is>
      </c>
      <c r="M26" s="17" t="inlineStr">
        <is>
          <t>medium</t>
        </is>
      </c>
      <c r="N26" s="18" t="inlineStr">
        <is>
          <t>Nao publicar esses numeros; recuperar a referencia [4] ou substituir por serie primaria antes de qualquer uso externo.</t>
        </is>
      </c>
    </row>
    <row r="27">
      <c r="A27" s="17" t="inlineStr">
        <is>
          <t>SA-03B</t>
        </is>
      </c>
      <c r="B27" s="17" t="inlineStr">
        <is>
          <t>tam</t>
        </is>
      </c>
      <c r="C27" s="17" t="inlineStr">
        <is>
          <t>ECO-01</t>
        </is>
      </c>
      <c r="D27" s="17" t="inlineStr">
        <is>
          <t>software</t>
        </is>
      </c>
      <c r="E27" s="17" t="n"/>
      <c r="F27" s="18" t="inlineStr">
        <is>
          <t>O material interno afirma TAM estimado de R$ 5,07 bilhoes (Brasil), sem metodologia recuperavel.</t>
        </is>
      </c>
      <c r="G27" s="18" t="inlineStr">
        <is>
          <t>QT-0131: 'TAM estimado 5070000000.0 R$', geografia Brasil, fonte 'Documento Final Unificado: Sintese Estrategica de Neuroexecucao Aplicada', arquivo IMG_0537.HEIC, 'base amostral: Nao informada na imagem', 'Requer validacao na referencia original'.</t>
        </is>
      </c>
      <c r="H27" s="17" t="inlineStr">
        <is>
          <t>DOC-C07-007;DOC-C07-009</t>
        </is>
      </c>
      <c r="I27" s="17" t="inlineStr">
        <is>
          <t>weak</t>
        </is>
      </c>
      <c r="J27" s="17" t="inlineStr">
        <is>
          <t>0.35</t>
        </is>
      </c>
      <c r="K27" s="17" t="inlineStr">
        <is>
          <t>fact</t>
        </is>
      </c>
      <c r="L27" s="17" t="inlineStr">
        <is>
          <t>high</t>
        </is>
      </c>
      <c r="M27" s="17" t="inlineStr">
        <is>
          <t>high</t>
        </is>
      </c>
      <c r="N27" s="18" t="inlineStr">
        <is>
          <t>Tratar como numero herdado nao auditavel; nao usar em deck, investidor ou copy ate existir memoria de calculo.</t>
        </is>
      </c>
    </row>
    <row r="28">
      <c r="A28" s="17" t="inlineStr">
        <is>
          <t>SA-03B</t>
        </is>
      </c>
      <c r="B28" s="17" t="inlineStr">
        <is>
          <t>tam_methodology</t>
        </is>
      </c>
      <c r="C28" s="17" t="inlineStr">
        <is>
          <t>ECO-01</t>
        </is>
      </c>
      <c r="D28" s="17" t="inlineStr">
        <is>
          <t>software</t>
        </is>
      </c>
      <c r="E28" s="17" t="n"/>
      <c r="F28" s="18" t="inlineStr">
        <is>
          <t>Nao ha base nem metodologia identificavel para produzir um TAM defensavel do EXECUTAR neste acervo.</t>
        </is>
      </c>
      <c r="G28" s="18" t="inlineStr">
        <is>
          <t>Falta: universo de compradores definido, taxa de adocao, preco medio validado e fonte bibliografica ([1]-[8] ausente). O proprio dashboard adverte que 26,1 mi de trabalhadores por conta propria 'Nao equivale a TAM do EXECUTAR'.</t>
        </is>
      </c>
      <c r="H28" s="17" t="inlineStr">
        <is>
          <t>DOC-C07-009;DOC-C07-007</t>
        </is>
      </c>
      <c r="I28" s="17" t="inlineStr">
        <is>
          <t>none</t>
        </is>
      </c>
      <c r="J28" s="17" t="inlineStr">
        <is>
          <t>0.85</t>
        </is>
      </c>
      <c r="K28" s="17" t="inlineStr">
        <is>
          <t>gap</t>
        </is>
      </c>
      <c r="L28" s="17" t="inlineStr">
        <is>
          <t>high</t>
        </is>
      </c>
      <c r="M28" s="17" t="inlineStr">
        <is>
          <t>high</t>
        </is>
      </c>
      <c r="N28" s="18" t="inlineStr">
        <is>
          <t>Para fechar: fixar universo (ex.: conta propria com uso de ferramenta digital), taxa de adocao observada e ARPU validado por PRICE-01; so entao calcular.</t>
        </is>
      </c>
    </row>
    <row r="29">
      <c r="A29" s="17" t="inlineStr">
        <is>
          <t>SA-03B</t>
        </is>
      </c>
      <c r="B29" s="17" t="inlineStr">
        <is>
          <t>tam_conflict</t>
        </is>
      </c>
      <c r="C29" s="17" t="inlineStr">
        <is>
          <t>ECO-01</t>
        </is>
      </c>
      <c r="D29" s="17" t="inlineStr">
        <is>
          <t>software</t>
        </is>
      </c>
      <c r="E29" s="17" t="n"/>
      <c r="F29" s="18" t="inlineStr">
        <is>
          <t>Ha duas posicoes incompativeis sobre dimensionamento de mercado dentro do mesmo acervo.</t>
        </is>
      </c>
      <c r="G29" s="18" t="inlineStr">
        <is>
          <t>Versao A (QT-0131/132/133): TAM R$5,07 bi, SAM R$357,3 mi, SOM R$3,26 mi em 3 anos. Versao B (dashboard V3 Final): 'Contexto de mercado. Nao equivale a TAM do EXECUTAR' e 'Strict VERIFIED 0'.</t>
        </is>
      </c>
      <c r="H29" s="17" t="inlineStr">
        <is>
          <t>DOC-C07-007;DOC-C07-009</t>
        </is>
      </c>
      <c r="I29" s="17" t="inlineStr">
        <is>
          <t>moderate</t>
        </is>
      </c>
      <c r="J29" s="17" t="inlineStr">
        <is>
          <t>0.85</t>
        </is>
      </c>
      <c r="K29" s="17" t="inlineStr">
        <is>
          <t>conflict</t>
        </is>
      </c>
      <c r="L29" s="17" t="inlineStr">
        <is>
          <t>high</t>
        </is>
      </c>
      <c r="M29" s="17" t="inlineStr">
        <is>
          <t>high</t>
        </is>
      </c>
      <c r="N29" s="18" t="inlineStr">
        <is>
          <t>Registrar formalmente que a V3 supera a estimativa herdada e marcar QT-0131/132/133 como legado nao verificado no proprio warehouse.</t>
        </is>
      </c>
    </row>
    <row r="30">
      <c r="A30" s="17" t="inlineStr">
        <is>
          <t>SA-03C</t>
        </is>
      </c>
      <c r="B30" s="17" t="inlineStr">
        <is>
          <t>sam</t>
        </is>
      </c>
      <c r="C30" s="17" t="inlineStr">
        <is>
          <t>ECO-01</t>
        </is>
      </c>
      <c r="D30" s="17" t="inlineStr">
        <is>
          <t>software</t>
        </is>
      </c>
      <c r="E30" s="17" t="n"/>
      <c r="F30" s="18" t="inlineStr">
        <is>
          <t>O material interno afirma SAM de R$ 357,3 milhoes e publico potencial de 6 milhoes de pessoas, sem metodologia recuperavel.</t>
        </is>
      </c>
      <c r="G30" s="18" t="inlineStr">
        <is>
          <t>QT-0132: 'SAM estimado 357300000.0 R$'; QT-0134: 'Publico potencial do SAM 6000000.0 pessoas'. Mesma limitacao: 'A imagem cita a referencia por numero, mas a lista bibliografica [1]-[8] nao esta no material anexado'.</t>
        </is>
      </c>
      <c r="H30" s="17" t="inlineStr">
        <is>
          <t>DOC-C07-007;DOC-C07-009</t>
        </is>
      </c>
      <c r="I30" s="17" t="inlineStr">
        <is>
          <t>weak</t>
        </is>
      </c>
      <c r="J30" s="17" t="inlineStr">
        <is>
          <t>0.35</t>
        </is>
      </c>
      <c r="K30" s="17" t="inlineStr">
        <is>
          <t>fact</t>
        </is>
      </c>
      <c r="L30" s="17" t="inlineStr">
        <is>
          <t>high</t>
        </is>
      </c>
      <c r="M30" s="17" t="inlineStr">
        <is>
          <t>high</t>
        </is>
      </c>
      <c r="N30" s="18" t="inlineStr">
        <is>
          <t>Recalcular SAM a partir do recorte ICP-01 (independente/solo, 25-44, multiprojeto) quando houver taxa de qualificacao observada.</t>
        </is>
      </c>
    </row>
    <row r="31">
      <c r="A31" s="17" t="inlineStr">
        <is>
          <t>SA-03D</t>
        </is>
      </c>
      <c r="B31" s="17" t="inlineStr">
        <is>
          <t>som</t>
        </is>
      </c>
      <c r="C31" s="17" t="inlineStr">
        <is>
          <t>ECO-01</t>
        </is>
      </c>
      <c r="D31" s="17" t="inlineStr">
        <is>
          <t>software</t>
        </is>
      </c>
      <c r="E31" s="17" t="n"/>
      <c r="F31" s="18" t="inlineStr">
        <is>
          <t>O material interno projeta SOM de R$ 3,26 milhoes em 3 anos, com meta de 500.000 inscritos e 1% de conversao anual.</t>
        </is>
      </c>
      <c r="G31" s="18" t="inlineStr">
        <is>
          <t>QT-0133 'SOM projetado para tres anos 3260000.0 R$'; QT-0135 'Meta de inscritos 500000.0 / 3 anos'; QT-0136 'Conversao anual projetada 1,0%'.</t>
        </is>
      </c>
      <c r="H31" s="17" t="inlineStr">
        <is>
          <t>DOC-C07-007;DOC-C07-009</t>
        </is>
      </c>
      <c r="I31" s="17" t="inlineStr">
        <is>
          <t>weak</t>
        </is>
      </c>
      <c r="J31" s="17" t="inlineStr">
        <is>
          <t>0.35</t>
        </is>
      </c>
      <c r="K31" s="17" t="inlineStr">
        <is>
          <t>fact</t>
        </is>
      </c>
      <c r="L31" s="17" t="inlineStr">
        <is>
          <t>high</t>
        </is>
      </c>
      <c r="M31" s="17" t="inlineStr">
        <is>
          <t>high</t>
        </is>
      </c>
      <c r="N31" s="18" t="inlineStr">
        <is>
          <t>Confrontar a meta de 500 mil inscritos com o objetivo SMART vigente, que proibe 'metas arbitrarias de seguidores ou leads sem baseline'.</t>
        </is>
      </c>
    </row>
    <row r="32">
      <c r="A32" s="17" t="inlineStr">
        <is>
          <t>SA-03D</t>
        </is>
      </c>
      <c r="B32" s="17" t="inlineStr">
        <is>
          <t>som_conflict</t>
        </is>
      </c>
      <c r="C32" s="17" t="inlineStr">
        <is>
          <t>ECO-02</t>
        </is>
      </c>
      <c r="D32" s="17" t="inlineStr">
        <is>
          <t>content_community</t>
        </is>
      </c>
      <c r="E32" s="17" t="inlineStr">
        <is>
          <t>social</t>
        </is>
      </c>
      <c r="F32" s="18" t="inlineStr">
        <is>
          <t>A meta herdada de 500.000 inscritos contradiz a regra vigente de nao fixar metas sem baseline.</t>
        </is>
      </c>
      <c r="G32" s="18" t="inlineStr">
        <is>
          <t>QT-0135: 'Meta de inscritos 500000.0'. DOC-C02-043 (Objetivo SMART): 'Nao estabelecer ainda metas arbitrarias de seguidores ou leads sem baseline.'</t>
        </is>
      </c>
      <c r="H32" s="17" t="inlineStr">
        <is>
          <t>DOC-C07-007;DOC-C02-043</t>
        </is>
      </c>
      <c r="I32" s="17" t="inlineStr">
        <is>
          <t>moderate</t>
        </is>
      </c>
      <c r="J32" s="17" t="inlineStr">
        <is>
          <t>0.8</t>
        </is>
      </c>
      <c r="K32" s="17" t="inlineStr">
        <is>
          <t>conflict</t>
        </is>
      </c>
      <c r="L32" s="17" t="inlineStr">
        <is>
          <t>medium</t>
        </is>
      </c>
      <c r="M32" s="17" t="inlineStr">
        <is>
          <t>medium</t>
        </is>
      </c>
      <c r="N32" s="18" t="inlineStr">
        <is>
          <t>Aposentar a meta de 500 mil ate a campanha D1-D14 gerar baseline de visualizacoes, retencao, inscricoes e downloads.</t>
        </is>
      </c>
    </row>
    <row r="33">
      <c r="A33" s="17" t="inlineStr">
        <is>
          <t>SA-03B</t>
        </is>
      </c>
      <c r="B33" s="17" t="inlineStr">
        <is>
          <t>tam</t>
        </is>
      </c>
      <c r="C33" s="17" t="inlineStr">
        <is>
          <t>ECO-02</t>
        </is>
      </c>
      <c r="D33" s="17" t="inlineStr">
        <is>
          <t>content_community</t>
        </is>
      </c>
      <c r="E33" s="17" t="n"/>
      <c r="F33" s="18" t="inlineStr">
        <is>
          <t>Nao existe dimensionamento de mercado especifico para a unidade editorial.</t>
        </is>
      </c>
      <c r="G33" s="18" t="inlineStr">
        <is>
          <t>Os unicos numeros de mercado no acervo (QT-0131/132/133) referem-se ao projeto de produto/neuroexecucao, nao a receita editorial; nenhum documento estima receita de publicidade, newsletter ou patrocinio.</t>
        </is>
      </c>
      <c r="H33" s="17" t="inlineStr">
        <is>
          <t>DOC-C07-007</t>
        </is>
      </c>
      <c r="I33" s="17" t="inlineStr">
        <is>
          <t>none</t>
        </is>
      </c>
      <c r="J33" s="17" t="inlineStr">
        <is>
          <t>0.8</t>
        </is>
      </c>
      <c r="K33" s="17" t="inlineStr">
        <is>
          <t>gap</t>
        </is>
      </c>
      <c r="L33" s="17" t="inlineStr">
        <is>
          <t>medium</t>
        </is>
      </c>
      <c r="M33" s="17" t="inlineStr">
        <is>
          <t>low</t>
        </is>
      </c>
      <c r="N33" s="18" t="inlineStr">
        <is>
          <t>Se o blog for monetizar, dimensionar por RPM x sessoes projetadas apos a campanha inaugural, nao antes.</t>
        </is>
      </c>
    </row>
    <row r="34">
      <c r="A34" s="17" t="inlineStr">
        <is>
          <t>SA-03B</t>
        </is>
      </c>
      <c r="B34" s="17" t="inlineStr">
        <is>
          <t>tam</t>
        </is>
      </c>
      <c r="C34" s="17" t="inlineStr">
        <is>
          <t>ECO-07</t>
        </is>
      </c>
      <c r="D34" s="17" t="inlineStr">
        <is>
          <t>professional_service</t>
        </is>
      </c>
      <c r="E34" s="17" t="inlineStr">
        <is>
          <t>direct_sales</t>
        </is>
      </c>
      <c r="F34" s="18" t="inlineStr">
        <is>
          <t>Nao existe TAM/SAM/SOM para os servicos; ha apenas preco e capacidade.</t>
        </is>
      </c>
      <c r="G34" s="18" t="inlineStr">
        <is>
          <t>DOC-C05-001 registra 'Um projeto, uma entrega, uma semana: R$ 700,00' e 'Limite de um cliente por semana', mas nenhum documento estima demanda ou numero de compradores potenciais.</t>
        </is>
      </c>
      <c r="H34" s="17" t="inlineStr">
        <is>
          <t>DOC-C05-001</t>
        </is>
      </c>
      <c r="I34" s="17" t="inlineStr">
        <is>
          <t>none</t>
        </is>
      </c>
      <c r="J34" s="17" t="inlineStr">
        <is>
          <t>0.85</t>
        </is>
      </c>
      <c r="K34" s="17" t="inlineStr">
        <is>
          <t>gap</t>
        </is>
      </c>
      <c r="L34" s="17" t="inlineStr">
        <is>
          <t>medium</t>
        </is>
      </c>
      <c r="M34" s="17" t="inlineStr">
        <is>
          <t>medium</t>
        </is>
      </c>
      <c r="N34" s="18" t="inlineStr">
        <is>
          <t>Para servico com capacidade travada em 1 cliente/semana, o dimensionamento relevante e fila de demanda qualificada, nao TAM.</t>
        </is>
      </c>
    </row>
    <row r="35">
      <c r="A35" s="17" t="inlineStr">
        <is>
          <t>SA-04A</t>
        </is>
      </c>
      <c r="B35" s="17" t="inlineStr">
        <is>
          <t>segmentation_axis</t>
        </is>
      </c>
      <c r="C35" s="17" t="inlineStr">
        <is>
          <t>ECO-01</t>
        </is>
      </c>
      <c r="D35" s="17" t="inlineStr">
        <is>
          <t>software</t>
        </is>
      </c>
      <c r="E35" s="17" t="inlineStr">
        <is>
          <t>app</t>
        </is>
      </c>
      <c r="F35" s="17" t="inlineStr">
        <is>
          <t>A segmentacao adotada e comportamental, nao clinica.</t>
        </is>
      </c>
      <c r="G35" s="18" t="inlineStr">
        <is>
          <t>Decisao ICP-01: 'Iniciar testes por profissionais independentes multiprojeto, sem exigir diagnostico de TDAH'; 'O que nao e criterio de entrada: Diagnostico de TDAH'.</t>
        </is>
      </c>
      <c r="H35" s="17" t="inlineStr">
        <is>
          <t>DOC-C07-009</t>
        </is>
      </c>
      <c r="I35" s="17" t="inlineStr">
        <is>
          <t>strong</t>
        </is>
      </c>
      <c r="J35" s="17" t="inlineStr">
        <is>
          <t>0.9</t>
        </is>
      </c>
      <c r="K35" s="17" t="inlineStr">
        <is>
          <t>fact</t>
        </is>
      </c>
      <c r="L35" s="17" t="inlineStr">
        <is>
          <t>high</t>
        </is>
      </c>
      <c r="M35" s="17" t="inlineStr">
        <is>
          <t>high</t>
        </is>
      </c>
      <c r="N35" s="18" t="inlineStr">
        <is>
          <t>Instrumentar a captacao para medir comportamento (perda de contexto, dificuldade de proxima acao) e nao autodeclaracao de diagnostico.</t>
        </is>
      </c>
    </row>
    <row r="36">
      <c r="A36" s="17" t="inlineStr">
        <is>
          <t>SA-04A</t>
        </is>
      </c>
      <c r="B36" s="17" t="inlineStr">
        <is>
          <t>segment_definition</t>
        </is>
      </c>
      <c r="C36" s="17" t="inlineStr">
        <is>
          <t>ECO-02</t>
        </is>
      </c>
      <c r="D36" s="17" t="inlineStr">
        <is>
          <t>content_community</t>
        </is>
      </c>
      <c r="E36" s="17" t="inlineStr">
        <is>
          <t>owned_web</t>
        </is>
      </c>
      <c r="F36" s="18" t="inlineStr">
        <is>
          <t>O material editorial define publico prioritario como empreendedores e profissionais liberais adultos com TDAH.</t>
        </is>
      </c>
      <c r="G36" s="18" t="inlineStr">
        <is>
          <t>QL-0018: 'Empreendedores e profissionais liberais adultos com TDAH sao definidos como publico prioritario'; QT-0140/0141 fixam faixa etaria 25-44 anos.</t>
        </is>
      </c>
      <c r="H36" s="17" t="inlineStr">
        <is>
          <t>DOC-C07-007;DOC-C07-009</t>
        </is>
      </c>
      <c r="I36" s="17" t="inlineStr">
        <is>
          <t>moderate</t>
        </is>
      </c>
      <c r="J36" s="17" t="inlineStr">
        <is>
          <t>0.75</t>
        </is>
      </c>
      <c r="K36" s="17" t="inlineStr">
        <is>
          <t>fact</t>
        </is>
      </c>
      <c r="L36" s="17" t="inlineStr">
        <is>
          <t>medium</t>
        </is>
      </c>
      <c r="M36" s="17" t="inlineStr">
        <is>
          <t>medium</t>
        </is>
      </c>
      <c r="N36" s="18" t="inlineStr">
        <is>
          <t>Alinhar com ICP-01: o editorial segmenta por diagnostico, o produto segmenta por comportamento; a diferenca precisa ser deliberada, nao acidental.</t>
        </is>
      </c>
    </row>
    <row r="37">
      <c r="A37" s="17" t="inlineStr">
        <is>
          <t>SA-04A</t>
        </is>
      </c>
      <c r="B37" s="17" t="inlineStr">
        <is>
          <t>segment_conflict</t>
        </is>
      </c>
      <c r="C37" s="17" t="inlineStr">
        <is>
          <t>ECO-01</t>
        </is>
      </c>
      <c r="D37" s="17" t="inlineStr">
        <is>
          <t>software</t>
        </is>
      </c>
      <c r="E37" s="17" t="n"/>
      <c r="F37" s="18" t="inlineStr">
        <is>
          <t>Ha tensao entre a segmentacao clinica do editorial e a segmentacao comportamental do produto.</t>
        </is>
      </c>
      <c r="G37" s="18" t="inlineStr">
        <is>
          <t>Editorial (QL-0018): publico e 'adultos com TDAH'. Produto (ICP-01): 'diagnostico nao define o ICP comercial inicial'. As duas convivem no mesmo funil de lancamento de 07/09.</t>
        </is>
      </c>
      <c r="H37" s="17" t="inlineStr">
        <is>
          <t>DOC-C07-007;DOC-C07-009;DOC-C12-005</t>
        </is>
      </c>
      <c r="I37" s="17" t="inlineStr">
        <is>
          <t>moderate</t>
        </is>
      </c>
      <c r="J37" s="17" t="inlineStr">
        <is>
          <t>0.75</t>
        </is>
      </c>
      <c r="K37" s="17" t="inlineStr">
        <is>
          <t>conflict</t>
        </is>
      </c>
      <c r="L37" s="17" t="inlineStr">
        <is>
          <t>high</t>
        </is>
      </c>
      <c r="M37" s="17" t="inlineStr">
        <is>
          <t>high</t>
        </is>
      </c>
      <c r="N37" s="18" t="inlineStr">
        <is>
          <t>Decidir e registrar como o trafego editorial (TDAH) converte para uma oferta que nao usa TDAH como criterio, evitando promessa implicita de tratamento.</t>
        </is>
      </c>
    </row>
    <row r="38">
      <c r="A38" s="17" t="inlineStr">
        <is>
          <t>SA-04A</t>
        </is>
      </c>
      <c r="B38" s="17" t="inlineStr">
        <is>
          <t>segment_definition</t>
        </is>
      </c>
      <c r="C38" s="17" t="inlineStr">
        <is>
          <t>ECO-03</t>
        </is>
      </c>
      <c r="D38" s="17" t="inlineStr">
        <is>
          <t>digital_product</t>
        </is>
      </c>
      <c r="E38" s="17" t="n"/>
      <c r="F38" s="18" t="inlineStr">
        <is>
          <t>O framework define dois publicos distintos: leitores interessados e especialistas como critica externa.</t>
        </is>
      </c>
      <c r="G38" s="18" t="inlineStr">
        <is>
          <t>DOC-C02-039 (BMC): 'Leitores interessados em funcoes executivas, neurodivergencia, trabalho, projetos e risco; especialistas entram como critica externa, nao como endosso.'</t>
        </is>
      </c>
      <c r="H38" s="17" t="inlineStr">
        <is>
          <t>DOC-C02-039;DOC-C02-042</t>
        </is>
      </c>
      <c r="I38" s="17" t="inlineStr">
        <is>
          <t>strong</t>
        </is>
      </c>
      <c r="J38" s="17" t="inlineStr">
        <is>
          <t>0.85</t>
        </is>
      </c>
      <c r="K38" s="17" t="inlineStr">
        <is>
          <t>fact</t>
        </is>
      </c>
      <c r="L38" s="17" t="inlineStr">
        <is>
          <t>medium</t>
        </is>
      </c>
      <c r="M38" s="17" t="inlineStr">
        <is>
          <t>medium</t>
        </is>
      </c>
      <c r="N38" s="18" t="inlineStr">
        <is>
          <t>Manter a separacao no material: endosso de especialista nao pode virar prova social antes da revisao critica.</t>
        </is>
      </c>
    </row>
    <row r="39">
      <c r="A39" s="17" t="inlineStr">
        <is>
          <t>SA-04A</t>
        </is>
      </c>
      <c r="B39" s="17" t="inlineStr">
        <is>
          <t>segment_definition</t>
        </is>
      </c>
      <c r="C39" s="17" t="inlineStr">
        <is>
          <t>ECO-07</t>
        </is>
      </c>
      <c r="D39" s="17" t="inlineStr">
        <is>
          <t>professional_service</t>
        </is>
      </c>
      <c r="E39" s="17" t="inlineStr">
        <is>
          <t>direct_sales</t>
        </is>
      </c>
      <c r="F39" s="18" t="inlineStr">
        <is>
          <t>Nao ha definicao de segmento para os servicos alem de tres familias nao especificadas no acervo lido.</t>
        </is>
      </c>
      <c r="G39" s="18" t="inlineStr">
        <is>
          <t>DOC-C09-006 lista como pendencia 'tres familias de servico' e 'condicao de preco inicial'; DOC-C02-004 registra CONS-01/CONS-02 como CONCLUIDO, mas nenhum documento lido nomeia as tres familias.</t>
        </is>
      </c>
      <c r="H39" s="17" t="inlineStr">
        <is>
          <t>DOC-C09-006;DOC-C02-004;DOC-C12-006</t>
        </is>
      </c>
      <c r="I39" s="17" t="inlineStr">
        <is>
          <t>none</t>
        </is>
      </c>
      <c r="J39" s="17" t="inlineStr">
        <is>
          <t>0.75</t>
        </is>
      </c>
      <c r="K39" s="17" t="inlineStr">
        <is>
          <t>gap</t>
        </is>
      </c>
      <c r="L39" s="17" t="inlineStr">
        <is>
          <t>high</t>
        </is>
      </c>
      <c r="M39" s="17" t="inlineStr">
        <is>
          <t>high</t>
        </is>
      </c>
      <c r="N39" s="18" t="inlineStr">
        <is>
          <t>Recuperar ou redigir a especificacao das tres familias de servico antes de publicar PAG-002-SERVICOS.</t>
        </is>
      </c>
    </row>
    <row r="40">
      <c r="A40" s="17" t="inlineStr">
        <is>
          <t>SA-04B</t>
        </is>
      </c>
      <c r="B40" s="17" t="inlineStr">
        <is>
          <t>icp</t>
        </is>
      </c>
      <c r="C40" s="17" t="inlineStr">
        <is>
          <t>ECO-01</t>
        </is>
      </c>
      <c r="D40" s="17" t="inlineStr">
        <is>
          <t>software</t>
        </is>
      </c>
      <c r="E40" s="17" t="inlineStr">
        <is>
          <t>app</t>
        </is>
      </c>
      <c r="F40" s="18" t="inlineStr">
        <is>
          <t>O ICP comercial a testar esta escrito de forma operacional e falseavel.</t>
        </is>
      </c>
      <c r="G40" s="18" t="inlineStr">
        <is>
          <t>Dashboard: 'Profissional independente/solo brasileiro, aproximadamente 25-44 anos, multiprojeto, que perde contexto, tem dificuldade recorrente para escolher proxima acao, ja tentou ferramentas de produtividade e controla/influencia a propria compra.'</t>
        </is>
      </c>
      <c r="H40" s="17" t="inlineStr">
        <is>
          <t>DOC-C07-009</t>
        </is>
      </c>
      <c r="I40" s="17" t="inlineStr">
        <is>
          <t>strong</t>
        </is>
      </c>
      <c r="J40" s="17" t="inlineStr">
        <is>
          <t>0.9</t>
        </is>
      </c>
      <c r="K40" s="17" t="inlineStr">
        <is>
          <t>fact</t>
        </is>
      </c>
      <c r="L40" s="17" t="inlineStr">
        <is>
          <t>high</t>
        </is>
      </c>
      <c r="M40" s="17" t="inlineStr">
        <is>
          <t>high</t>
        </is>
      </c>
      <c r="N40" s="18" t="inlineStr">
        <is>
          <t>Converter cada clausula do ICP em pergunta de triagem do formulario de captacao FORM-002.</t>
        </is>
      </c>
    </row>
    <row r="41">
      <c r="A41" s="17" t="inlineStr">
        <is>
          <t>SA-04B</t>
        </is>
      </c>
      <c r="B41" s="17" t="inlineStr">
        <is>
          <t>icp_validation</t>
        </is>
      </c>
      <c r="C41" s="17" t="inlineStr">
        <is>
          <t>ECO-01</t>
        </is>
      </c>
      <c r="D41" s="17" t="inlineStr">
        <is>
          <t>software</t>
        </is>
      </c>
      <c r="E41" s="17" t="inlineStr">
        <is>
          <t>app</t>
        </is>
      </c>
      <c r="F41" s="18" t="inlineStr">
        <is>
          <t>O ICP permanece hipotese: nao ha validacao com clientes reais.</t>
        </is>
      </c>
      <c r="G41" s="18" t="inlineStr">
        <is>
          <t>gaps[0]: 'ICP comercial - HIPOTESE FORTE / TESTAVEL - closed: false - remaining: Validacao com clientes reais'; finding ICP-HYP-01 tem epistemic_class E e status HYPOTHESIS.</t>
        </is>
      </c>
      <c r="H41" s="17" t="inlineStr">
        <is>
          <t>DOC-C07-009</t>
        </is>
      </c>
      <c r="I41" s="17" t="inlineStr">
        <is>
          <t>strong</t>
        </is>
      </c>
      <c r="J41" s="17" t="inlineStr">
        <is>
          <t>0.9</t>
        </is>
      </c>
      <c r="K41" s="17" t="inlineStr">
        <is>
          <t>fact</t>
        </is>
      </c>
      <c r="L41" s="17" t="inlineStr">
        <is>
          <t>high</t>
        </is>
      </c>
      <c r="M41" s="17" t="inlineStr">
        <is>
          <t>high</t>
        </is>
      </c>
      <c r="N41" s="18" t="inlineStr">
        <is>
          <t>Recrutar coorte comportamental no lancamento de 07/09 e medir ativacao, recorrencia, pagamento e renovacao (next_validation de ICP-01).</t>
        </is>
      </c>
    </row>
    <row r="42">
      <c r="A42" s="17" t="inlineStr">
        <is>
          <t>SA-04B</t>
        </is>
      </c>
      <c r="B42" s="17" t="inlineStr">
        <is>
          <t>icp</t>
        </is>
      </c>
      <c r="C42" s="17" t="inlineStr">
        <is>
          <t>ECO-07</t>
        </is>
      </c>
      <c r="D42" s="17" t="inlineStr">
        <is>
          <t>professional_service</t>
        </is>
      </c>
      <c r="E42" s="17" t="inlineStr">
        <is>
          <t>direct_sales</t>
        </is>
      </c>
      <c r="F42" s="18" t="inlineStr">
        <is>
          <t>O ICP do Estudio esta implicito no formulario de entrada, nao declarado.</t>
        </is>
      </c>
      <c r="G42" s="18" t="inlineStr">
        <is>
          <t>DOC-C12-003 pergunta 'como trabalha hoje; principal atrito; ferramentas atuais; resultado desejado; ... prazo desejado; faixa de investimento' - e um instrumento de qualificacao, mas nenhum documento declara o perfil-alvo.</t>
        </is>
      </c>
      <c r="H42" s="17" t="inlineStr">
        <is>
          <t>DOC-C12-003;DOC-C09-006</t>
        </is>
      </c>
      <c r="I42" s="17" t="inlineStr">
        <is>
          <t>moderate</t>
        </is>
      </c>
      <c r="J42" s="17" t="inlineStr">
        <is>
          <t>0.7</t>
        </is>
      </c>
      <c r="K42" s="17" t="inlineStr">
        <is>
          <t>gap</t>
        </is>
      </c>
      <c r="L42" s="17" t="inlineStr">
        <is>
          <t>medium</t>
        </is>
      </c>
      <c r="M42" s="17" t="inlineStr">
        <is>
          <t>medium</t>
        </is>
      </c>
      <c r="N42" s="18" t="inlineStr">
        <is>
          <t>Derivar o ICP do Estudio a partir das respostas das primeiras semanas e registra-lo antes de escalar a oferta.</t>
        </is>
      </c>
    </row>
    <row r="43">
      <c r="A43" s="17" t="inlineStr">
        <is>
          <t>SA-04C</t>
        </is>
      </c>
      <c r="B43" s="17" t="inlineStr">
        <is>
          <t>job_statement</t>
        </is>
      </c>
      <c r="C43" s="17" t="inlineStr">
        <is>
          <t>ECO-02</t>
        </is>
      </c>
      <c r="D43" s="17" t="inlineStr">
        <is>
          <t>content_community</t>
        </is>
      </c>
      <c r="E43" s="17" t="inlineStr">
        <is>
          <t>owned_web</t>
        </is>
      </c>
      <c r="F43" s="18" t="inlineStr">
        <is>
          <t>O acervo formula oito enunciados de job em primeira pessoa que descrevem a distancia entre intencao e execucao.</t>
        </is>
      </c>
      <c r="G43" s="18" t="inlineStr">
        <is>
          <t>DOC-C01-005: 'Quero fazer, mas nao consigo iniciar. Comeco, mas nao consigo sustentar. Sei fazer, mas esqueco etapas... Entrego, mas atraves de urgencia, estresse e recuperacao posterior. Crio sistemas de produtividade, mas nao consigo mante-los.'</t>
        </is>
      </c>
      <c r="H43" s="17" t="inlineStr">
        <is>
          <t>DOC-C01-005;DOC-C03-002</t>
        </is>
      </c>
      <c r="I43" s="17" t="inlineStr">
        <is>
          <t>strong</t>
        </is>
      </c>
      <c r="J43" s="17" t="inlineStr">
        <is>
          <t>0.9</t>
        </is>
      </c>
      <c r="K43" s="17" t="inlineStr">
        <is>
          <t>fact</t>
        </is>
      </c>
      <c r="L43" s="17" t="inlineStr">
        <is>
          <t>high</t>
        </is>
      </c>
      <c r="M43" s="17" t="inlineStr">
        <is>
          <t>high</t>
        </is>
      </c>
      <c r="N43" s="18" t="inlineStr">
        <is>
          <t>Usar os oito enunciados como titulos-semente do calendario editorial: cada um e um artigo com vulnerabilidade, demanda, falha e controle.</t>
        </is>
      </c>
    </row>
    <row r="44">
      <c r="A44" s="17" t="inlineStr">
        <is>
          <t>SA-04C</t>
        </is>
      </c>
      <c r="B44" s="17" t="inlineStr">
        <is>
          <t>functional_job</t>
        </is>
      </c>
      <c r="C44" s="17" t="inlineStr">
        <is>
          <t>ECO-01</t>
        </is>
      </c>
      <c r="D44" s="17" t="inlineStr">
        <is>
          <t>software</t>
        </is>
      </c>
      <c r="E44" s="17" t="inlineStr">
        <is>
          <t>app</t>
        </is>
      </c>
      <c r="F44" s="18" t="inlineStr">
        <is>
          <t>O job funcional central e transformar contexto em proxima acao valida e preservar o estado do trabalho.</t>
        </is>
      </c>
      <c r="G44" s="18" t="inlineStr">
        <is>
          <t>positioning: 'Sistema de execucao para profissionais multiprojeto que transforma contexto em proxima acao e preserva o estado do trabalho'; VALUE_EVENT-01: 'Projeto real -&gt; contexto interpretado -&gt; proxima acao valida -&gt; acao executada -&gt; conclusao/evidencia registrada'.</t>
        </is>
      </c>
      <c r="H44" s="17" t="inlineStr">
        <is>
          <t>DOC-C07-009</t>
        </is>
      </c>
      <c r="I44" s="17" t="inlineStr">
        <is>
          <t>strong</t>
        </is>
      </c>
      <c r="J44" s="17" t="inlineStr">
        <is>
          <t>0.9</t>
        </is>
      </c>
      <c r="K44" s="17" t="inlineStr">
        <is>
          <t>fact</t>
        </is>
      </c>
      <c r="L44" s="17" t="inlineStr">
        <is>
          <t>high</t>
        </is>
      </c>
      <c r="M44" s="17" t="inlineStr">
        <is>
          <t>high</t>
        </is>
      </c>
      <c r="N44" s="18" t="inlineStr">
        <is>
          <t>Instrumentar VALUE_EVENT-01 como evento unico de ativacao antes do lancamento; sem ele nao ha PMF mensuravel.</t>
        </is>
      </c>
    </row>
    <row r="45">
      <c r="A45" s="17" t="inlineStr">
        <is>
          <t>SA-04C</t>
        </is>
      </c>
      <c r="B45" s="17" t="inlineStr">
        <is>
          <t>job_map</t>
        </is>
      </c>
      <c r="C45" s="17" t="inlineStr">
        <is>
          <t>ECO-03</t>
        </is>
      </c>
      <c r="D45" s="17" t="inlineStr">
        <is>
          <t>digital_product</t>
        </is>
      </c>
      <c r="E45" s="17" t="n"/>
      <c r="F45" s="18" t="inlineStr">
        <is>
          <t>A matriz GP-01 a GP-11 mapeia onze jobs de gestao de projetos contra vulnerabilidades executivas e controles compensatorios.</t>
        </is>
      </c>
      <c r="G45" s="18" t="inlineStr">
        <is>
          <t>DOC-C07-003 traz 11 linhas com colunas Funcao / Capacidade exigida / Vulnerabilidade / Evidencia (B/C/E) / Impacto operacional / Compensacao sistemica / Decisao de produto, de 'Iniciacao e escopo' a 'Capacidade e forecasting'.</t>
        </is>
      </c>
      <c r="H45" s="17" t="inlineStr">
        <is>
          <t>DOC-C07-003;DOC-C07-002;DOC-C07-004</t>
        </is>
      </c>
      <c r="I45" s="17" t="inlineStr">
        <is>
          <t>strong</t>
        </is>
      </c>
      <c r="J45" s="17" t="inlineStr">
        <is>
          <t>0.9</t>
        </is>
      </c>
      <c r="K45" s="17" t="inlineStr">
        <is>
          <t>fact</t>
        </is>
      </c>
      <c r="L45" s="17" t="inlineStr">
        <is>
          <t>high</t>
        </is>
      </c>
      <c r="M45" s="17" t="inlineStr">
        <is>
          <t>high</t>
        </is>
      </c>
      <c r="N45" s="18" t="inlineStr">
        <is>
          <t>Tratar a matriz como o artefato mais reutilizavel do acervo: ela serve simultaneamente a roadmap de produto, pauta editorial e escopo do framework.</t>
        </is>
      </c>
    </row>
    <row r="46">
      <c r="A46" s="17" t="inlineStr">
        <is>
          <t>SA-04C</t>
        </is>
      </c>
      <c r="B46" s="17" t="inlineStr">
        <is>
          <t>job_pain</t>
        </is>
      </c>
      <c r="C46" s="17" t="inlineStr">
        <is>
          <t>ECO-03</t>
        </is>
      </c>
      <c r="D46" s="17" t="inlineStr">
        <is>
          <t>digital_product</t>
        </is>
      </c>
      <c r="E46" s="17" t="n"/>
      <c r="F46" s="18" t="inlineStr">
        <is>
          <t>O mecanismo de falha mais forte da matriz e o de execucao sustentada, classificado como evidencia B/C forte.</t>
        </is>
      </c>
      <c r="G46" s="18" t="inlineStr">
        <is>
          <t>GP-06: 'Competicao entre estimulos + duracao -&gt; abandono, fragmentacao ou multiplos trabalhos parcialmente abertos', evidencia 'B/C forte', compensacao 'Modo foco, WIP baixo, fila separada, captura de interrupcoes sem abandonar tarefa atual'.</t>
        </is>
      </c>
      <c r="H46" s="17" t="inlineStr">
        <is>
          <t>DOC-C07-003;DOC-C07-002</t>
        </is>
      </c>
      <c r="I46" s="17" t="inlineStr">
        <is>
          <t>strong</t>
        </is>
      </c>
      <c r="J46" s="17" t="inlineStr">
        <is>
          <t>0.85</t>
        </is>
      </c>
      <c r="K46" s="17" t="inlineStr">
        <is>
          <t>fact</t>
        </is>
      </c>
      <c r="L46" s="17" t="inlineStr">
        <is>
          <t>high</t>
        </is>
      </c>
      <c r="M46" s="17" t="inlineStr">
        <is>
          <t>medium</t>
        </is>
      </c>
      <c r="N46" s="18" t="inlineStr">
        <is>
          <t>Priorizar WIP baixo e fila unica como feature de lancamento, por ser a linha com a evidencia mais forte da matriz.</t>
        </is>
      </c>
    </row>
    <row r="47">
      <c r="A47" s="17" t="inlineStr">
        <is>
          <t>SA-04C</t>
        </is>
      </c>
      <c r="B47" s="17" t="inlineStr">
        <is>
          <t>job_statement</t>
        </is>
      </c>
      <c r="C47" s="17" t="inlineStr">
        <is>
          <t>ECO-07</t>
        </is>
      </c>
      <c r="D47" s="17" t="inlineStr">
        <is>
          <t>professional_service</t>
        </is>
      </c>
      <c r="E47" s="17" t="inlineStr">
        <is>
          <t>direct_sales</t>
        </is>
      </c>
      <c r="F47" s="18" t="inlineStr">
        <is>
          <t>O job do cliente de servico e declarado como sair com um sistema funcionando em sete dias.</t>
        </is>
      </c>
      <c r="G47" s="18" t="inlineStr">
        <is>
          <t>DOC-C09-006: 'Traga o problema. Em 7 dias, saia com um sistema funcionando'; modelo '1 cliente por semana - 1 projeto - 1 entrega principal - 7 dias'.</t>
        </is>
      </c>
      <c r="H47" s="17" t="inlineStr">
        <is>
          <t>DOC-C09-006;DOC-C05-001</t>
        </is>
      </c>
      <c r="I47" s="17" t="inlineStr">
        <is>
          <t>strong</t>
        </is>
      </c>
      <c r="J47" s="17" t="inlineStr">
        <is>
          <t>0.9</t>
        </is>
      </c>
      <c r="K47" s="17" t="inlineStr">
        <is>
          <t>fact</t>
        </is>
      </c>
      <c r="L47" s="17" t="inlineStr">
        <is>
          <t>high</t>
        </is>
      </c>
      <c r="M47" s="17" t="inlineStr">
        <is>
          <t>medium</t>
        </is>
      </c>
      <c r="N47" s="18" t="inlineStr">
        <is>
          <t>Manter a promessa de 7 dias como criterio de escopo: qualquer pedido que nao caiba em 7 dias vira outra oferta, nao excecao.</t>
        </is>
      </c>
    </row>
    <row r="48">
      <c r="A48" s="17" t="inlineStr">
        <is>
          <t>SA-04D</t>
        </is>
      </c>
      <c r="B48" s="17" t="inlineStr">
        <is>
          <t>primary_research</t>
        </is>
      </c>
      <c r="C48" s="17" t="inlineStr">
        <is>
          <t>ECO-01</t>
        </is>
      </c>
      <c r="D48" s="17" t="inlineStr">
        <is>
          <t>software</t>
        </is>
      </c>
      <c r="E48" s="17" t="n"/>
      <c r="F48" s="18" t="inlineStr">
        <is>
          <t>Nao existe pesquisa primaria com clientes reais em nenhuma das quatro unidades.</t>
        </is>
      </c>
      <c r="G48" s="18" t="inlineStr">
        <is>
          <t>Dashboard: 'Strict VERIFIED 0'; gaps ICP/Preco/CAC/LTV/PMF/Eficacia todos com closed: false e remaining apontando para validacao com clientes/coorte real; a base tem 240 registros legados, sendo 142 de livro e 98 de documento interno.</t>
        </is>
      </c>
      <c r="H48" s="17" t="inlineStr">
        <is>
          <t>DOC-C07-009;DOC-C07-007</t>
        </is>
      </c>
      <c r="I48" s="17" t="inlineStr">
        <is>
          <t>strong</t>
        </is>
      </c>
      <c r="J48" s="17" t="inlineStr">
        <is>
          <t>0.9</t>
        </is>
      </c>
      <c r="K48" s="17" t="inlineStr">
        <is>
          <t>fact</t>
        </is>
      </c>
      <c r="L48" s="17" t="inlineStr">
        <is>
          <t>high</t>
        </is>
      </c>
      <c r="M48" s="17" t="inlineStr">
        <is>
          <t>high</t>
        </is>
      </c>
      <c r="N48" s="18" t="inlineStr">
        <is>
          <t>Rodar 10-15 entrevistas com o ICP durante a campanha de lancamento; e o insumo mais barato e mais ausente do acervo.</t>
        </is>
      </c>
    </row>
    <row r="49">
      <c r="A49" s="17" t="inlineStr">
        <is>
          <t>SA-04D</t>
        </is>
      </c>
      <c r="B49" s="17" t="inlineStr">
        <is>
          <t>stated_need</t>
        </is>
      </c>
      <c r="C49" s="17" t="inlineStr">
        <is>
          <t>ECO-02</t>
        </is>
      </c>
      <c r="D49" s="17" t="inlineStr">
        <is>
          <t>content_community</t>
        </is>
      </c>
      <c r="E49" s="17" t="inlineStr">
        <is>
          <t>owned_web</t>
        </is>
      </c>
      <c r="F49" s="18" t="inlineStr">
        <is>
          <t>As necessidades explicitas e implicitas do publico estao registradas, mas derivam de documento interno e nao de escuta direta.</t>
        </is>
      </c>
      <c r="G49" s="18" t="inlineStr">
        <is>
          <t>QL-0021: 'necessidades de foco, organizacao e reducao da procrastinacao'; QL-0022: 'validacao nao moral, externalizacao de funcoes executivas e reforcos externos imediatos'; conjunto: 'Documento interno do projeto'.</t>
        </is>
      </c>
      <c r="H49" s="17" t="inlineStr">
        <is>
          <t>DOC-C07-007</t>
        </is>
      </c>
      <c r="I49" s="17" t="inlineStr">
        <is>
          <t>moderate</t>
        </is>
      </c>
      <c r="J49" s="17" t="inlineStr">
        <is>
          <t>0.65</t>
        </is>
      </c>
      <c r="K49" s="17" t="inlineStr">
        <is>
          <t>fact</t>
        </is>
      </c>
      <c r="L49" s="17" t="inlineStr">
        <is>
          <t>medium</t>
        </is>
      </c>
      <c r="M49" s="17" t="inlineStr">
        <is>
          <t>medium</t>
        </is>
      </c>
      <c r="N49" s="18" t="inlineStr">
        <is>
          <t>Testar as necessidades implicitas como hipoteses de copy A/B na campanha, tratando-as como suposicao e nao como voz do cliente.</t>
        </is>
      </c>
    </row>
    <row r="50">
      <c r="A50" s="17" t="inlineStr">
        <is>
          <t>SA-04D</t>
        </is>
      </c>
      <c r="B50" s="17" t="inlineStr">
        <is>
          <t>emotional_job</t>
        </is>
      </c>
      <c r="C50" s="17" t="inlineStr">
        <is>
          <t>ECO-02</t>
        </is>
      </c>
      <c r="D50" s="17" t="inlineStr">
        <is>
          <t>content_community</t>
        </is>
      </c>
      <c r="E50" s="17" t="inlineStr">
        <is>
          <t>owned_web</t>
        </is>
      </c>
      <c r="F50" s="18" t="inlineStr">
        <is>
          <t>A dor moral (culpa e interpretacao de preguica) e registrada como agravante do problema funcional.</t>
        </is>
      </c>
      <c r="G50" s="18" t="inlineStr">
        <is>
          <t>QL-0020: 'Culpa e interpretacao de preguica agravam o problema funcional'; QL-0019: 'falha cronica de autorregulacao e funcao executiva, expressa por procrastinacao e abandono apesar de criatividade e hiperfoco'.</t>
        </is>
      </c>
      <c r="H50" s="17" t="inlineStr">
        <is>
          <t>DOC-C07-007</t>
        </is>
      </c>
      <c r="I50" s="17" t="inlineStr">
        <is>
          <t>moderate</t>
        </is>
      </c>
      <c r="J50" s="17" t="inlineStr">
        <is>
          <t>0.7</t>
        </is>
      </c>
      <c r="K50" s="17" t="inlineStr">
        <is>
          <t>fact</t>
        </is>
      </c>
      <c r="L50" s="17" t="inlineStr">
        <is>
          <t>high</t>
        </is>
      </c>
      <c r="M50" s="17" t="inlineStr">
        <is>
          <t>medium</t>
        </is>
      </c>
      <c r="N50" s="18" t="inlineStr">
        <is>
          <t>Manter o tom nao moralizante como regra editorial explicita; e o diferencial percebido mais barato de sustentar.</t>
        </is>
      </c>
    </row>
    <row r="51">
      <c r="A51" s="17" t="inlineStr">
        <is>
          <t>SA-04D</t>
        </is>
      </c>
      <c r="B51" s="17" t="inlineStr">
        <is>
          <t>demand_signal</t>
        </is>
      </c>
      <c r="C51" s="17" t="inlineStr">
        <is>
          <t>ECO-02</t>
        </is>
      </c>
      <c r="D51" s="17" t="inlineStr">
        <is>
          <t>content_community</t>
        </is>
      </c>
      <c r="E51" s="17" t="inlineStr">
        <is>
          <t>owned_web</t>
        </is>
      </c>
      <c r="F51" s="18" t="inlineStr">
        <is>
          <t>Ha estimativas internas de volume de busca por cinco termos-chave, sem metodologia nem data.</t>
        </is>
      </c>
      <c r="G51" s="18" t="inlineStr">
        <is>
          <t>QT-0154 'TDAH adulto 110.000-140.000 buscas/mes'; QT-0155 'TDAH procrastinacao 18.000-25.000'; QT-0156 'funcoes executivas 12.000-18.000'; QT-0157 'como organizar com TDAH 9.000-15.000'; QT-0158 'planner para TDAH 6.000-10.000'. Observacao: 'metodologia e data da pesquisa nao aparecem na imagem'.</t>
        </is>
      </c>
      <c r="H51" s="17" t="inlineStr">
        <is>
          <t>DOC-C07-007;DOC-C07-009</t>
        </is>
      </c>
      <c r="I51" s="17" t="inlineStr">
        <is>
          <t>weak</t>
        </is>
      </c>
      <c r="J51" s="17" t="inlineStr">
        <is>
          <t>0.45</t>
        </is>
      </c>
      <c r="K51" s="17" t="inlineStr">
        <is>
          <t>fact</t>
        </is>
      </c>
      <c r="L51" s="17" t="inlineStr">
        <is>
          <t>medium</t>
        </is>
      </c>
      <c r="M51" s="17" t="inlineStr">
        <is>
          <t>medium</t>
        </is>
      </c>
      <c r="N51" s="18" t="inlineStr">
        <is>
          <t>Refazer o levantamento em ferramenta propria antes de usar como base de plano de SEO; hoje sao faixas transcritas de imagem.</t>
        </is>
      </c>
    </row>
    <row r="52">
      <c r="A52" s="17" t="inlineStr">
        <is>
          <t>SA-04D</t>
        </is>
      </c>
      <c r="B52" s="17" t="inlineStr">
        <is>
          <t>behavioral_evidence</t>
        </is>
      </c>
      <c r="C52" s="17" t="inlineStr">
        <is>
          <t>ECO-01</t>
        </is>
      </c>
      <c r="D52" s="17" t="inlineStr">
        <is>
          <t>software</t>
        </is>
      </c>
      <c r="E52" s="17" t="inlineStr">
        <is>
          <t>app</t>
        </is>
      </c>
      <c r="F52" s="18" t="inlineStr">
        <is>
          <t>Ha dois numeros de contexto de trabalho citados a partir de blog corporativo, com forca de evidencia baixa.</t>
        </is>
      </c>
      <c r="G52" s="18" t="inlineStr">
        <is>
          <t>QT-000175: '23,0 minutos para recuperar o foco apos notificacao/troca de contexto'; QT-000176: 'intervalo de 2,0 minutos entre notificacoes', ambos fonte 'Toggl (blog corporativo)', publico 'Trabalhadores do conhecimento'.</t>
        </is>
      </c>
      <c r="H52" s="17" t="inlineStr">
        <is>
          <t>DOC-C07-007</t>
        </is>
      </c>
      <c r="I52" s="17" t="inlineStr">
        <is>
          <t>weak</t>
        </is>
      </c>
      <c r="J52" s="17" t="inlineStr">
        <is>
          <t>0.45</t>
        </is>
      </c>
      <c r="K52" s="17" t="inlineStr">
        <is>
          <t>fact</t>
        </is>
      </c>
      <c r="L52" s="17" t="inlineStr">
        <is>
          <t>medium</t>
        </is>
      </c>
      <c r="M52" s="17" t="inlineStr">
        <is>
          <t>low</t>
        </is>
      </c>
      <c r="N52" s="18" t="inlineStr">
        <is>
          <t>Nao usar os 23 minutos como claim publico; se necessario, buscar a fonte primaria ou substituir por metrica propria de resume latency.</t>
        </is>
      </c>
    </row>
    <row r="53">
      <c r="A53" s="17" t="inlineStr">
        <is>
          <t>SA-05</t>
        </is>
      </c>
      <c r="B53" s="17" t="inlineStr">
        <is>
          <t>prior_art</t>
        </is>
      </c>
      <c r="C53" s="17" t="inlineStr">
        <is>
          <t>ECO-03</t>
        </is>
      </c>
      <c r="D53" s="17" t="inlineStr">
        <is>
          <t>digital_product</t>
        </is>
      </c>
      <c r="E53" s="17" t="n"/>
      <c r="F53" s="18" t="inlineStr">
        <is>
          <t>O termo cognitive risk ja possui anterioridade publicada, e o acervo registra isso explicitamente.</t>
        </is>
      </c>
      <c r="G53" s="18" t="inlineStr">
        <is>
          <t>RC-TERM-007 aponta o livro 'Cognitive Risk' (Bone &amp; Lee, Routledge) e RC-TERM-008 o capitulo 'Managing Cognitive Risk' (Emerald) como STATUS ANTERIORIDADE; guardrail: 'Nao reivindicar autoria do termo'.</t>
        </is>
      </c>
      <c r="H53" s="17" t="inlineStr">
        <is>
          <t>DOC-C02-030;DOC-C02-022</t>
        </is>
      </c>
      <c r="I53" s="17" t="inlineStr">
        <is>
          <t>strong</t>
        </is>
      </c>
      <c r="J53" s="17" t="inlineStr">
        <is>
          <t>0.9</t>
        </is>
      </c>
      <c r="K53" s="17" t="inlineStr">
        <is>
          <t>fact</t>
        </is>
      </c>
      <c r="L53" s="17" t="inlineStr">
        <is>
          <t>high</t>
        </is>
      </c>
      <c r="M53" s="17" t="inlineStr">
        <is>
          <t>high</t>
        </is>
      </c>
      <c r="N53" s="18" t="inlineStr">
        <is>
          <t>Publicar o mapa de anterioridade junto com o framework; e o que separa contribuicao defensavel de reivindicacao fragil.</t>
        </is>
      </c>
    </row>
    <row r="54">
      <c r="A54" s="17" t="inlineStr">
        <is>
          <t>SA-05</t>
        </is>
      </c>
      <c r="B54" s="17" t="inlineStr">
        <is>
          <t>whitespace</t>
        </is>
      </c>
      <c r="C54" s="17" t="inlineStr">
        <is>
          <t>ECO-03</t>
        </is>
      </c>
      <c r="D54" s="17" t="inlineStr">
        <is>
          <t>digital_product</t>
        </is>
      </c>
      <c r="E54" s="17" t="n"/>
      <c r="F54" s="18" t="inlineStr">
        <is>
          <t>O whitespace declarado e a integracao perfil executivo -&gt; demanda cognitiva -&gt; falha -&gt; probabilidade/impacto -&gt; controle -&gt; evidencia, aplicada a projetos e neurodivergencia.</t>
        </is>
      </c>
      <c r="G54" s="18" t="inlineStr">
        <is>
          <t>DOC-C02-031, item 3: 'Nao foi identificado, nesta rodada, um framework consolidado que una explicitamente: perfil executivo individual -&gt; demanda cognitiva da tarefa -&gt; evento provavel de falha -&gt; probabilidade/impacto -&gt; controle compensatorio -&gt; evidencia de execucao'.</t>
        </is>
      </c>
      <c r="H54" s="17" t="inlineStr">
        <is>
          <t>DOC-C02-031;DOC-C02-016</t>
        </is>
      </c>
      <c r="I54" s="17" t="inlineStr">
        <is>
          <t>strong</t>
        </is>
      </c>
      <c r="J54" s="17" t="inlineStr">
        <is>
          <t>0.85</t>
        </is>
      </c>
      <c r="K54" s="17" t="inlineStr">
        <is>
          <t>fact</t>
        </is>
      </c>
      <c r="L54" s="17" t="inlineStr">
        <is>
          <t>high</t>
        </is>
      </c>
      <c r="M54" s="17" t="inlineStr">
        <is>
          <t>high</t>
        </is>
      </c>
      <c r="N54" s="18" t="inlineStr">
        <is>
          <t>Manter a formulacao literal como definicao da contribuicao; ela e especifica o bastante para ser testada e defendida.</t>
        </is>
      </c>
    </row>
    <row r="55">
      <c r="A55" s="17" t="inlineStr">
        <is>
          <t>SA-05</t>
        </is>
      </c>
      <c r="B55" s="17" t="inlineStr">
        <is>
          <t>whitespace_risk</t>
        </is>
      </c>
      <c r="C55" s="17" t="inlineStr">
        <is>
          <t>ECO-03</t>
        </is>
      </c>
      <c r="D55" s="17" t="inlineStr">
        <is>
          <t>digital_product</t>
        </is>
      </c>
      <c r="E55" s="17" t="n"/>
      <c r="F55" s="18" t="inlineStr">
        <is>
          <t>Tratar a ausencia de framework equivalente como prova de ineditismo e registrado como risco de credibilidade pelo proprio acervo.</t>
        </is>
      </c>
      <c r="G55" s="18" t="inlineStr">
        <is>
          <t>DOC-C02-031, item 4: 'Nao encontramos nao significa nao existe'; DOC-C02-039 (Riscos): 'Tratar a ausencia de um framework equivalente nas buscas como prova de ineditismo pode comprometer a credibilidade cientifica e estrategica da proposta'.</t>
        </is>
      </c>
      <c r="H55" s="17" t="inlineStr">
        <is>
          <t>DOC-C02-031;DOC-C02-039;DOC-C02-043</t>
        </is>
      </c>
      <c r="I55" s="17" t="inlineStr">
        <is>
          <t>strong</t>
        </is>
      </c>
      <c r="J55" s="17" t="inlineStr">
        <is>
          <t>0.9</t>
        </is>
      </c>
      <c r="K55" s="17" t="inlineStr">
        <is>
          <t>fact</t>
        </is>
      </c>
      <c r="L55" s="17" t="inlineStr">
        <is>
          <t>high</t>
        </is>
      </c>
      <c r="M55" s="17" t="inlineStr">
        <is>
          <t>high</t>
        </is>
      </c>
      <c r="N55" s="18" t="inlineStr">
        <is>
          <t>Executar a scoping review sistematica (RC-P02-VAL01, etapa 1) antes de qualquer comunicacao publica de ineditismo.</t>
        </is>
      </c>
    </row>
    <row r="56">
      <c r="A56" s="17" t="inlineStr">
        <is>
          <t>SA-05</t>
        </is>
      </c>
      <c r="B56" s="17" t="inlineStr">
        <is>
          <t>competitor_benchmark</t>
        </is>
      </c>
      <c r="C56" s="17" t="inlineStr">
        <is>
          <t>ECO-02</t>
        </is>
      </c>
      <c r="D56" s="17" t="inlineStr">
        <is>
          <t>content_community</t>
        </is>
      </c>
      <c r="E56" s="17" t="inlineStr">
        <is>
          <t>social</t>
        </is>
      </c>
      <c r="F56" s="18" t="inlineStr">
        <is>
          <t>O acervo estima receita anual de R$595-654 mil para o concorrente TDAH Descomplicado, sem fonte resolvida.</t>
        </is>
      </c>
      <c r="G56" s="18" t="inlineStr">
        <is>
          <t>QT-0145: 'Receita anual estimada do concorrente TDAH Descomplicado, 595000.0-654000.0 R$/ano', 'Requer validacao na referencia original', bibliografia [2][4] ausente do material.</t>
        </is>
      </c>
      <c r="H56" s="17" t="inlineStr">
        <is>
          <t>DOC-C07-007;DOC-C07-009</t>
        </is>
      </c>
      <c r="I56" s="17" t="inlineStr">
        <is>
          <t>weak</t>
        </is>
      </c>
      <c r="J56" s="17" t="inlineStr">
        <is>
          <t>0.4</t>
        </is>
      </c>
      <c r="K56" s="17" t="inlineStr">
        <is>
          <t>fact</t>
        </is>
      </c>
      <c r="L56" s="17" t="inlineStr">
        <is>
          <t>medium</t>
        </is>
      </c>
      <c r="M56" s="17" t="inlineStr">
        <is>
          <t>low</t>
        </is>
      </c>
      <c r="N56" s="18" t="inlineStr">
        <is>
          <t>Usar apenas como ordem de grandeza interna; nao citar publicamente numero de receita de terceiro sem fonte.</t>
        </is>
      </c>
    </row>
    <row r="57">
      <c r="A57" s="17" t="inlineStr">
        <is>
          <t>SA-05</t>
        </is>
      </c>
      <c r="B57" s="17" t="inlineStr">
        <is>
          <t>competitive_gap</t>
        </is>
      </c>
      <c r="C57" s="17" t="inlineStr">
        <is>
          <t>ECO-02</t>
        </is>
      </c>
      <c r="D57" s="17" t="inlineStr">
        <is>
          <t>content_community</t>
        </is>
      </c>
      <c r="E57" s="17" t="inlineStr">
        <is>
          <t>owned_web</t>
        </is>
      </c>
      <c r="F57" s="18" t="inlineStr">
        <is>
          <t>A lacuna competitiva hipotetizada e que concorrentes seriam fortes em sintomas e medicacao e fracos em aplicacao pratica.</t>
        </is>
      </c>
      <c r="G57" s="18" t="inlineStr">
        <is>
          <t>QL-0026: 'Concorrentes seriam mais fortes em sintomas e medicacao do que em aplicacao pratica e desempenho'; recomendacao da propria fonte: 'Validar a lacuna por auditoria de conteudo e entrevistas, antes de assumir oceano azul'.</t>
        </is>
      </c>
      <c r="H57" s="17" t="inlineStr">
        <is>
          <t>DOC-C07-007</t>
        </is>
      </c>
      <c r="I57" s="17" t="inlineStr">
        <is>
          <t>moderate</t>
        </is>
      </c>
      <c r="J57" s="17" t="inlineStr">
        <is>
          <t>0.65</t>
        </is>
      </c>
      <c r="K57" s="17" t="inlineStr">
        <is>
          <t>hypothesis</t>
        </is>
      </c>
      <c r="L57" s="17" t="inlineStr">
        <is>
          <t>high</t>
        </is>
      </c>
      <c r="M57" s="17" t="inlineStr">
        <is>
          <t>medium</t>
        </is>
      </c>
      <c r="N57" s="18" t="inlineStr">
        <is>
          <t>Fazer auditoria de 20 conteudos concorrentes classificando por Entender/Estruturar/Executar/Evoluir para confirmar ou derrubar a hipotese.</t>
        </is>
      </c>
    </row>
    <row r="58">
      <c r="A58" s="17" t="inlineStr">
        <is>
          <t>SA-05</t>
        </is>
      </c>
      <c r="B58" s="17" t="inlineStr">
        <is>
          <t>competitive_practice</t>
        </is>
      </c>
      <c r="C58" s="17" t="inlineStr">
        <is>
          <t>ECO-01</t>
        </is>
      </c>
      <c r="D58" s="17" t="inlineStr">
        <is>
          <t>software</t>
        </is>
      </c>
      <c r="E58" s="17" t="inlineStr">
        <is>
          <t>app</t>
        </is>
      </c>
      <c r="F58" s="18" t="inlineStr">
        <is>
          <t>Dark patterns em apps de produtividade sao registrados como fator negativo de confianca, criando espaco de diferenciacao etica.</t>
        </is>
      </c>
      <c r="G58" s="18" t="inlineStr">
        <is>
          <t>QL-000050: 'Padroes de design enganoso (dificuldade para cancelar assinatura, inducao de culpa, continuidade forcada) sao apontados como prejudiciais a confianca do usuario em aplicativos de produtividade'.</t>
        </is>
      </c>
      <c r="H58" s="17" t="inlineStr">
        <is>
          <t>DOC-C07-007</t>
        </is>
      </c>
      <c r="I58" s="17" t="inlineStr">
        <is>
          <t>moderate</t>
        </is>
      </c>
      <c r="J58" s="17" t="inlineStr">
        <is>
          <t>0.7</t>
        </is>
      </c>
      <c r="K58" s="17" t="inlineStr">
        <is>
          <t>fact</t>
        </is>
      </c>
      <c r="L58" s="17" t="inlineStr">
        <is>
          <t>medium</t>
        </is>
      </c>
      <c r="M58" s="17" t="inlineStr">
        <is>
          <t>medium</t>
        </is>
      </c>
      <c r="N58" s="18" t="inlineStr">
        <is>
          <t>Transformar em compromisso publico verificavel (cancelamento em um clique, sem inducao de culpa) - barato e alinhado ao publico.</t>
        </is>
      </c>
    </row>
    <row r="59">
      <c r="A59" s="17" t="inlineStr">
        <is>
          <t>SA-06A</t>
        </is>
      </c>
      <c r="B59" s="17" t="inlineStr">
        <is>
          <t>revenue_streams</t>
        </is>
      </c>
      <c r="C59" s="17" t="inlineStr">
        <is>
          <t>ECO-01</t>
        </is>
      </c>
      <c r="D59" s="17" t="inlineStr">
        <is>
          <t>software</t>
        </is>
      </c>
      <c r="E59" s="17" t="n"/>
      <c r="F59" s="18" t="inlineStr">
        <is>
          <t>O ecossistema declara seis fontes de receita distintas ligadas por um registro unico de CTAs.</t>
        </is>
      </c>
      <c r="G59" s="18" t="inlineStr">
        <is>
          <t>CTA Registry (DOC-C06-001): CTA-001 App, CTA-004 E-book, CTA-005 Curso, CTA-006 Studio (servico), CTA-007 Amazon Affiliate, CTA-009 Office Kit (fisico), alem de CTA-003 Biblioteca e CTA-008/010 captacao de lead.</t>
        </is>
      </c>
      <c r="H59" s="17" t="inlineStr">
        <is>
          <t>DOC-C06-001;DOC-C05-001</t>
        </is>
      </c>
      <c r="I59" s="17" t="inlineStr">
        <is>
          <t>strong</t>
        </is>
      </c>
      <c r="J59" s="17" t="inlineStr">
        <is>
          <t>0.9</t>
        </is>
      </c>
      <c r="K59" s="17" t="inlineStr">
        <is>
          <t>fact</t>
        </is>
      </c>
      <c r="L59" s="17" t="inlineStr">
        <is>
          <t>high</t>
        </is>
      </c>
      <c r="M59" s="17" t="inlineStr">
        <is>
          <t>high</t>
        </is>
      </c>
      <c r="N59" s="18" t="inlineStr">
        <is>
          <t>Antes de 07/09, marcar quais dos 10 CTAs tem destino real e quais devem ser desligados; um CTA sem destino queima trafego de lancamento.</t>
        </is>
      </c>
    </row>
    <row r="60">
      <c r="A60" s="17" t="inlineStr">
        <is>
          <t>SA-06A</t>
        </is>
      </c>
      <c r="B60" s="17" t="inlineStr">
        <is>
          <t>margin_pool</t>
        </is>
      </c>
      <c r="C60" s="17" t="inlineStr">
        <is>
          <t>ECO-01</t>
        </is>
      </c>
      <c r="D60" s="17" t="inlineStr">
        <is>
          <t>digital_product</t>
        </is>
      </c>
      <c r="E60" s="17" t="inlineStr">
        <is>
          <t>education_platform</t>
        </is>
      </c>
      <c r="F60" s="18" t="inlineStr">
        <is>
          <t>O material posiciona infoprodutos como motor de margem e produtos fisicos como retencao e marca.</t>
        </is>
      </c>
      <c r="G60" s="18" t="inlineStr">
        <is>
          <t>QL-0039: 'Infoprodutos sao propostos como motor de margem e produtos fisicos como retencao e marca'; QT-0148: 'Margem bruta de infoprodutos 83,0% ou mais'; QT-0151: 'Preco sugerido de produto fisico premium 350,0 R$ ou mais'.</t>
        </is>
      </c>
      <c r="H60" s="17" t="inlineStr">
        <is>
          <t>DOC-C07-007;DOC-C07-009</t>
        </is>
      </c>
      <c r="I60" s="17" t="inlineStr">
        <is>
          <t>weak</t>
        </is>
      </c>
      <c r="J60" s="17" t="inlineStr">
        <is>
          <t>0.5</t>
        </is>
      </c>
      <c r="K60" s="17" t="inlineStr">
        <is>
          <t>fact</t>
        </is>
      </c>
      <c r="L60" s="17" t="inlineStr">
        <is>
          <t>medium</t>
        </is>
      </c>
      <c r="M60" s="17" t="inlineStr">
        <is>
          <t>medium</t>
        </is>
      </c>
      <c r="N60" s="18" t="inlineStr">
        <is>
          <t>Tratar os 83% como premissa herdada; validar com custo real de plataforma, imposto e taxa de checkout antes de planejar caixa.</t>
        </is>
      </c>
    </row>
    <row r="61">
      <c r="A61" s="17" t="inlineStr">
        <is>
          <t>SA-06A</t>
        </is>
      </c>
      <c r="B61" s="17" t="inlineStr">
        <is>
          <t>affiliate_pool</t>
        </is>
      </c>
      <c r="C61" s="17" t="inlineStr">
        <is>
          <t>ECO-02</t>
        </is>
      </c>
      <c r="D61" s="17" t="inlineStr">
        <is>
          <t>content_community</t>
        </is>
      </c>
      <c r="E61" s="17" t="inlineStr">
        <is>
          <t>affiliate</t>
        </is>
      </c>
      <c r="F61" s="18" t="inlineStr">
        <is>
          <t>A monetizacao por afiliados esta desenhada como camada editorial com comissao de 10% em livros na Amazon.</t>
        </is>
      </c>
      <c r="G61" s="18" t="inlineStr">
        <is>
          <t>DOC-C05-001, Macro 01: 'A tabela padrao atual informa 10% para livros e livros digitais em compras qualificadas'; AF-04: 'Recomendacao editorial primeiro; monetizacao depois'; biblioteca inicial BK-01/02/03 (Barkley, Ana Beatriz Silva, Barkley EF).</t>
        </is>
      </c>
      <c r="H61" s="17" t="inlineStr">
        <is>
          <t>DOC-C05-001</t>
        </is>
      </c>
      <c r="I61" s="17" t="inlineStr">
        <is>
          <t>strong</t>
        </is>
      </c>
      <c r="J61" s="17" t="inlineStr">
        <is>
          <t>0.85</t>
        </is>
      </c>
      <c r="K61" s="17" t="inlineStr">
        <is>
          <t>fact</t>
        </is>
      </c>
      <c r="L61" s="17" t="inlineStr">
        <is>
          <t>low</t>
        </is>
      </c>
      <c r="M61" s="17" t="inlineStr">
        <is>
          <t>medium</t>
        </is>
      </c>
      <c r="N61" s="18" t="inlineStr">
        <is>
          <t>Executar AF-SETUP-001 (cadastro + IDs por canal + substituicao dos links-base) antes de publicar as pecas que citam os livros.</t>
        </is>
      </c>
    </row>
    <row r="62">
      <c r="A62" s="17" t="inlineStr">
        <is>
          <t>SA-06A</t>
        </is>
      </c>
      <c r="B62" s="17" t="inlineStr">
        <is>
          <t>revenue_conflict</t>
        </is>
      </c>
      <c r="C62" s="17" t="inlineStr">
        <is>
          <t>ECO-02</t>
        </is>
      </c>
      <c r="D62" s="17" t="inlineStr">
        <is>
          <t>content_community</t>
        </is>
      </c>
      <c r="E62" s="17" t="inlineStr">
        <is>
          <t>owned_web</t>
        </is>
      </c>
      <c r="F62" s="18" t="inlineStr">
        <is>
          <t>Ha conflito registrado sobre a alocacao da receita de AdSense ao braco social.</t>
        </is>
      </c>
      <c r="G62" s="18" t="inlineStr">
        <is>
          <t>QT-0152: 'Alocacao de AdSense inicialmente cogitada 70,0% da receita'; QT-0153: 'Alocacao inicial recomendada 10,0%'; QL-0016: '70% ... e considerada incompativel com reinvestimento e consistencia operacional'.</t>
        </is>
      </c>
      <c r="H62" s="17" t="inlineStr">
        <is>
          <t>DOC-C07-007;DOC-C07-009</t>
        </is>
      </c>
      <c r="I62" s="17" t="inlineStr">
        <is>
          <t>moderate</t>
        </is>
      </c>
      <c r="J62" s="17" t="inlineStr">
        <is>
          <t>0.75</t>
        </is>
      </c>
      <c r="K62" s="17" t="inlineStr">
        <is>
          <t>conflict</t>
        </is>
      </c>
      <c r="L62" s="17" t="inlineStr">
        <is>
          <t>medium</t>
        </is>
      </c>
      <c r="M62" s="17" t="inlineStr">
        <is>
          <t>low</t>
        </is>
      </c>
      <c r="N62" s="18" t="inlineStr">
        <is>
          <t>Registrar formalmente a decisao (10%) e o motivo, para que a versao de 70% nao volte por copia de material antigo.</t>
        </is>
      </c>
    </row>
    <row r="63">
      <c r="A63" s="17" t="inlineStr">
        <is>
          <t>SA-06B</t>
        </is>
      </c>
      <c r="B63" s="17" t="inlineStr">
        <is>
          <t>unit_economics</t>
        </is>
      </c>
      <c r="C63" s="17" t="inlineStr">
        <is>
          <t>ECO-01</t>
        </is>
      </c>
      <c r="D63" s="17" t="inlineStr">
        <is>
          <t>software</t>
        </is>
      </c>
      <c r="E63" s="17" t="inlineStr">
        <is>
          <t>app</t>
        </is>
      </c>
      <c r="F63" s="18" t="inlineStr">
        <is>
          <t>O modelo economico do app e integralmente hipotetico: ARPU, margem e churn sao premissas, nao observacoes.</t>
        </is>
      </c>
      <c r="G63" s="18" t="inlineStr">
        <is>
          <t>unit_economics.status: 'MODEL_HYPOTHESIS_NOT_OBSERVED'; cenarios: churn 10%/15%/20% -&gt; LTV R$424 / R$282,77 / R$212 e CAC maximo para LTV:CAC=3 de R$141 / R$94 / R$71, com ARPU R$49,90 e margem bruta 85%.</t>
        </is>
      </c>
      <c r="H63" s="17" t="inlineStr">
        <is>
          <t>DOC-C07-009</t>
        </is>
      </c>
      <c r="I63" s="17" t="inlineStr">
        <is>
          <t>strong</t>
        </is>
      </c>
      <c r="J63" s="17" t="inlineStr">
        <is>
          <t>0.9</t>
        </is>
      </c>
      <c r="K63" s="17" t="inlineStr">
        <is>
          <t>fact</t>
        </is>
      </c>
      <c r="L63" s="17" t="inlineStr">
        <is>
          <t>high</t>
        </is>
      </c>
      <c r="M63" s="17" t="inlineStr">
        <is>
          <t>high</t>
        </is>
      </c>
      <c r="N63" s="18" t="inlineStr">
        <is>
          <t>Nao usar LTV de R$282,77 em nenhuma decisao de investimento; substituir por LTV_30/60/90/180/365 assim que houver coorte paga.</t>
        </is>
      </c>
    </row>
    <row r="64">
      <c r="A64" s="17" t="inlineStr">
        <is>
          <t>SA-06B</t>
        </is>
      </c>
      <c r="B64" s="17" t="inlineStr">
        <is>
          <t>cac_guardrail</t>
        </is>
      </c>
      <c r="C64" s="17" t="inlineStr">
        <is>
          <t>ECO-01</t>
        </is>
      </c>
      <c r="D64" s="17" t="inlineStr">
        <is>
          <t>software</t>
        </is>
      </c>
      <c r="E64" s="17" t="inlineStr">
        <is>
          <t>direct_sales</t>
        </is>
      </c>
      <c r="F64" s="18" t="inlineStr">
        <is>
          <t>O guardrail de CAC e R$70 (conservador) com alerta em aproximadamente R$95, e a fonte distingue CAC de metricas intermediarias.</t>
        </is>
      </c>
      <c r="G64" s="18" t="inlineStr">
        <is>
          <t>Decisao CAC-01 e painel: 'CAC observado = gasto atribuivel / novos clientes pagantes. CPI, CPM, clique e cadastro nao substituem CAC.'</t>
        </is>
      </c>
      <c r="H64" s="17" t="inlineStr">
        <is>
          <t>DOC-C07-009</t>
        </is>
      </c>
      <c r="I64" s="17" t="inlineStr">
        <is>
          <t>strong</t>
        </is>
      </c>
      <c r="J64" s="17" t="inlineStr">
        <is>
          <t>0.9</t>
        </is>
      </c>
      <c r="K64" s="17" t="inlineStr">
        <is>
          <t>fact</t>
        </is>
      </c>
      <c r="L64" s="17" t="inlineStr">
        <is>
          <t>high</t>
        </is>
      </c>
      <c r="M64" s="17" t="inlineStr">
        <is>
          <t>high</t>
        </is>
      </c>
      <c r="N64" s="18" t="inlineStr">
        <is>
          <t>Implementar os eventos de telemetria acquisition_source, campaign_id, paid_at e gross_revenue antes da primeira campanha paga.</t>
        </is>
      </c>
    </row>
    <row r="65">
      <c r="A65" s="17" t="inlineStr">
        <is>
          <t>SA-06B</t>
        </is>
      </c>
      <c r="B65" s="17" t="inlineStr">
        <is>
          <t>pricing</t>
        </is>
      </c>
      <c r="C65" s="17" t="inlineStr">
        <is>
          <t>ECO-01</t>
        </is>
      </c>
      <c r="D65" s="17" t="inlineStr">
        <is>
          <t>software</t>
        </is>
      </c>
      <c r="E65" s="17" t="inlineStr">
        <is>
          <t>app</t>
        </is>
      </c>
      <c r="F65" s="18" t="inlineStr">
        <is>
          <t>O preco e um experimento declarado, nao uma tabela: R$29,90 / R$49,90 / R$79,90 mensais e R$299 / R$499 / R$799 anuais.</t>
        </is>
      </c>
      <c r="G65" s="18" t="inlineStr">
        <is>
          <t>research.pricing: monthly_branches_brl [29.9, 49.9, 79.9], annual_branches_brl [299, 499, 799], central_test_price_brl 49.9, status 'HYPOTHESIS_TO_TEST'; painel: 'Preco canonico ainda nao existe'.</t>
        </is>
      </c>
      <c r="H65" s="17" t="inlineStr">
        <is>
          <t>DOC-C07-009</t>
        </is>
      </c>
      <c r="I65" s="17" t="inlineStr">
        <is>
          <t>strong</t>
        </is>
      </c>
      <c r="J65" s="17" t="inlineStr">
        <is>
          <t>0.9</t>
        </is>
      </c>
      <c r="K65" s="17" t="inlineStr">
        <is>
          <t>fact</t>
        </is>
      </c>
      <c r="L65" s="17" t="inlineStr">
        <is>
          <t>high</t>
        </is>
      </c>
      <c r="M65" s="17" t="inlineStr">
        <is>
          <t>high</t>
        </is>
      </c>
      <c r="N65" s="18" t="inlineStr">
        <is>
          <t>Publicar apenas o ponto central R$49,90 no lancamento e reservar as pontas para teste, evitando ancoragem publica de tres precos.</t>
        </is>
      </c>
    </row>
    <row r="66">
      <c r="A66" s="17" t="inlineStr">
        <is>
          <t>SA-06B</t>
        </is>
      </c>
      <c r="B66" s="17" t="inlineStr">
        <is>
          <t>service_pricing</t>
        </is>
      </c>
      <c r="C66" s="17" t="inlineStr">
        <is>
          <t>ECO-07</t>
        </is>
      </c>
      <c r="D66" s="17" t="inlineStr">
        <is>
          <t>professional_service</t>
        </is>
      </c>
      <c r="E66" s="17" t="inlineStr">
        <is>
          <t>direct_sales</t>
        </is>
      </c>
      <c r="F66" s="18" t="inlineStr">
        <is>
          <t>O servico tem preco declarado de R$700 por projeto de uma semana, com capacidade de um cliente por semana.</t>
        </is>
      </c>
      <c r="G66" s="18" t="inlineStr">
        <is>
          <t>DOC-C05-001: 'Preco: Um projeto, uma entrega, uma semana: R$ 700,00'; 'Capacidade e escassez: Limite de um cliente por semana, apresentado como diferencial do servico'.</t>
        </is>
      </c>
      <c r="H66" s="17" t="inlineStr">
        <is>
          <t>DOC-C05-001;DOC-C09-006</t>
        </is>
      </c>
      <c r="I66" s="17" t="inlineStr">
        <is>
          <t>strong</t>
        </is>
      </c>
      <c r="J66" s="17" t="inlineStr">
        <is>
          <t>0.9</t>
        </is>
      </c>
      <c r="K66" s="17" t="inlineStr">
        <is>
          <t>fact</t>
        </is>
      </c>
      <c r="L66" s="17" t="inlineStr">
        <is>
          <t>high</t>
        </is>
      </c>
      <c r="M66" s="17" t="inlineStr">
        <is>
          <t>high</t>
        </is>
      </c>
      <c r="N66" s="18" t="inlineStr">
        <is>
          <t>Confirmar se R$700 e preco de portfolio ou preco-alvo; a pagina PAG-003-ESTUDIO nao pode ir ao ar com essa ambiguidade.</t>
        </is>
      </c>
    </row>
    <row r="67">
      <c r="A67" s="17" t="inlineStr">
        <is>
          <t>SA-06B</t>
        </is>
      </c>
      <c r="B67" s="17" t="inlineStr">
        <is>
          <t>service_capacity_ceiling</t>
        </is>
      </c>
      <c r="C67" s="17" t="inlineStr">
        <is>
          <t>ECO-07</t>
        </is>
      </c>
      <c r="D67" s="17" t="inlineStr">
        <is>
          <t>professional_service</t>
        </is>
      </c>
      <c r="E67" s="17" t="inlineStr">
        <is>
          <t>direct_sales</t>
        </is>
      </c>
      <c r="F67" s="18" t="inlineStr">
        <is>
          <t>Com R$700 por semana e um cliente por semana, o teto teorico de receita do Estudio e cerca de R$36,4 mil por ano.</t>
        </is>
      </c>
      <c r="G67" s="18" t="inlineStr">
        <is>
          <t>Derivacao aritmetica direta de DOC-C05-001: R$700 x 52 semanas = R$36.400/ano, ignorando ferias, semanas sem cliente e os primeiros clientes atendidos sem cobranca.</t>
        </is>
      </c>
      <c r="H67" s="17" t="inlineStr">
        <is>
          <t>DOC-C05-001</t>
        </is>
      </c>
      <c r="I67" s="17" t="inlineStr">
        <is>
          <t>moderate</t>
        </is>
      </c>
      <c r="J67" s="17" t="inlineStr">
        <is>
          <t>0.8</t>
        </is>
      </c>
      <c r="K67" s="17" t="inlineStr">
        <is>
          <t>inference</t>
        </is>
      </c>
      <c r="L67" s="17" t="inlineStr">
        <is>
          <t>high</t>
        </is>
      </c>
      <c r="M67" s="17" t="inlineStr">
        <is>
          <t>high</t>
        </is>
      </c>
      <c r="N67" s="18" t="inlineStr">
        <is>
          <t>Se o Estudio precisa ser motor de receita, o preco ou o modelo de capacidade precisa mudar; se e motor de portfolio e autoridade, declarar isso e nao cobrar meta de receita dele.</t>
        </is>
      </c>
    </row>
    <row r="68">
      <c r="A68" s="17" t="inlineStr">
        <is>
          <t>SA-06B</t>
        </is>
      </c>
      <c r="B68" s="17" t="inlineStr">
        <is>
          <t>pricing_strategy</t>
        </is>
      </c>
      <c r="C68" s="17" t="inlineStr">
        <is>
          <t>ECO-07</t>
        </is>
      </c>
      <c r="D68" s="17" t="inlineStr">
        <is>
          <t>professional_service</t>
        </is>
      </c>
      <c r="E68" s="17" t="inlineStr">
        <is>
          <t>direct_sales</t>
        </is>
      </c>
      <c r="F68" s="18" t="inlineStr">
        <is>
          <t>Os primeiros clientes podem ser atendidos sem cobranca para construcao de portfolio.</t>
        </is>
      </c>
      <c r="G68" s="18" t="inlineStr">
        <is>
          <t>DOC-C05-001: 'Primeiros clientes podem ser atendidos sem cobranca para construcao de portfolio, com transparencia sobre fase inicial e possiveis refinamentos'.</t>
        </is>
      </c>
      <c r="H68" s="17" t="inlineStr">
        <is>
          <t>DOC-C05-001</t>
        </is>
      </c>
      <c r="I68" s="17" t="inlineStr">
        <is>
          <t>strong</t>
        </is>
      </c>
      <c r="J68" s="17" t="inlineStr">
        <is>
          <t>0.85</t>
        </is>
      </c>
      <c r="K68" s="17" t="inlineStr">
        <is>
          <t>fact</t>
        </is>
      </c>
      <c r="L68" s="17" t="inlineStr">
        <is>
          <t>medium</t>
        </is>
      </c>
      <c r="M68" s="17" t="inlineStr">
        <is>
          <t>high</t>
        </is>
      </c>
      <c r="N68" s="18" t="inlineStr">
        <is>
          <t>Fixar quantos clientes gratuitos (ex.: 2) e qual o criterio de saida dessa fase, para nao ancorar o servico em preco zero.</t>
        </is>
      </c>
    </row>
    <row r="69">
      <c r="A69" s="17" t="inlineStr">
        <is>
          <t>SA-06B</t>
        </is>
      </c>
      <c r="B69" s="17" t="inlineStr">
        <is>
          <t>cost_structure</t>
        </is>
      </c>
      <c r="C69" s="17" t="inlineStr">
        <is>
          <t>ECO-01</t>
        </is>
      </c>
      <c r="D69" s="17" t="inlineStr">
        <is>
          <t>software</t>
        </is>
      </c>
      <c r="E69" s="17" t="inlineStr">
        <is>
          <t>app</t>
        </is>
      </c>
      <c r="F69" s="18" t="inlineStr">
        <is>
          <t>O custo variavel de IA e reconhecido como evento a medir, mas nao ha nenhum valor estimado no acervo.</t>
        </is>
      </c>
      <c r="G69" s="18" t="inlineStr">
        <is>
          <t>telemetry.required_events inclui 'variable_ai_cost', porem nenhum documento lido apresenta custo por usuario, por execucao ou por token.</t>
        </is>
      </c>
      <c r="H69" s="17" t="inlineStr">
        <is>
          <t>DOC-C07-009</t>
        </is>
      </c>
      <c r="I69" s="17" t="inlineStr">
        <is>
          <t>none</t>
        </is>
      </c>
      <c r="J69" s="17" t="inlineStr">
        <is>
          <t>0.8</t>
        </is>
      </c>
      <c r="K69" s="17" t="inlineStr">
        <is>
          <t>gap</t>
        </is>
      </c>
      <c r="L69" s="17" t="inlineStr">
        <is>
          <t>high</t>
        </is>
      </c>
      <c r="M69" s="17" t="inlineStr">
        <is>
          <t>high</t>
        </is>
      </c>
      <c r="N69" s="18" t="inlineStr">
        <is>
          <t>Estimar custo variavel por usuario ativo antes de fixar R$49,90; com margem premissa de 85%, o custo de IA e a variavel que pode derrubar o modelo.</t>
        </is>
      </c>
    </row>
    <row r="70">
      <c r="A70" s="17" t="inlineStr">
        <is>
          <t>SA-06B</t>
        </is>
      </c>
      <c r="B70" s="17" t="inlineStr">
        <is>
          <t>economics</t>
        </is>
      </c>
      <c r="C70" s="17" t="inlineStr">
        <is>
          <t>ECO-02</t>
        </is>
      </c>
      <c r="D70" s="17" t="inlineStr">
        <is>
          <t>content_community</t>
        </is>
      </c>
      <c r="E70" s="17" t="inlineStr">
        <is>
          <t>owned_web</t>
        </is>
      </c>
      <c r="F70" s="18" t="inlineStr">
        <is>
          <t>Nao existe modelo economico proprio para a unidade editorial.</t>
        </is>
      </c>
      <c r="G70" s="18" t="inlineStr">
        <is>
          <t>O BMC de DOC-C02-039 tem 'Riscos / custos cognitivos' e 'Entregas / evidencia', mas nenhuma linha de receita, custo ou ponto de equilibrio; o objetivo declarado da fase e validar interesse, nao receita.</t>
        </is>
      </c>
      <c r="H70" s="17" t="inlineStr">
        <is>
          <t>DOC-C02-039;DOC-C02-043</t>
        </is>
      </c>
      <c r="I70" s="17" t="inlineStr">
        <is>
          <t>none</t>
        </is>
      </c>
      <c r="J70" s="17" t="inlineStr">
        <is>
          <t>0.8</t>
        </is>
      </c>
      <c r="K70" s="17" t="inlineStr">
        <is>
          <t>gap</t>
        </is>
      </c>
      <c r="L70" s="17" t="inlineStr">
        <is>
          <t>medium</t>
        </is>
      </c>
      <c r="M70" s="17" t="inlineStr">
        <is>
          <t>low</t>
        </is>
      </c>
      <c r="N70" s="18" t="inlineStr">
        <is>
          <t>Aceitar o blog como investimento de categoria na fase 1 e definir explicitamente quando ele passa a ter meta economica.</t>
        </is>
      </c>
    </row>
    <row r="71">
      <c r="A71" s="17" t="inlineStr">
        <is>
          <t>SA-07A</t>
        </is>
      </c>
      <c r="B71" s="17" t="inlineStr">
        <is>
          <t>content_chain</t>
        </is>
      </c>
      <c r="C71" s="17" t="inlineStr">
        <is>
          <t>ECO-02</t>
        </is>
      </c>
      <c r="D71" s="17" t="inlineStr">
        <is>
          <t>content_community</t>
        </is>
      </c>
      <c r="E71" s="17" t="inlineStr">
        <is>
          <t>owned_web</t>
        </is>
      </c>
      <c r="F71" s="18" t="inlineStr">
        <is>
          <t>A cadeia editorial e de derivacao 1 para N a partir de um conteudo canonico.</t>
        </is>
      </c>
      <c r="G71" s="18" t="inlineStr">
        <is>
          <t>DOC-C10-003: 'Artigo canonico -&gt; imagem principal -&gt; diagramas -&gt; video -&gt; cortes curtos -&gt; carrossel/post -&gt; chamada -&gt; agenda'; DOC-C02-043 registra 'produzir tudo por derivacao 1-&gt;N, comecando pelo artigo mestre'.</t>
        </is>
      </c>
      <c r="H71" s="17" t="inlineStr">
        <is>
          <t>DOC-C10-003;DOC-C02-043;DOC-C02-014</t>
        </is>
      </c>
      <c r="I71" s="17" t="inlineStr">
        <is>
          <t>strong</t>
        </is>
      </c>
      <c r="J71" s="17" t="inlineStr">
        <is>
          <t>0.9</t>
        </is>
      </c>
      <c r="K71" s="17" t="inlineStr">
        <is>
          <t>fact</t>
        </is>
      </c>
      <c r="L71" s="17" t="inlineStr">
        <is>
          <t>high</t>
        </is>
      </c>
      <c r="M71" s="17" t="inlineStr">
        <is>
          <t>medium</t>
        </is>
      </c>
      <c r="N71" s="18" t="inlineStr">
        <is>
          <t>Manter a regra de nao iniciar derivados antes do canonico estar fechado; e o que protege as 60h comprometidas do GTM.</t>
        </is>
      </c>
    </row>
    <row r="72">
      <c r="A72" s="17" t="inlineStr">
        <is>
          <t>SA-07A</t>
        </is>
      </c>
      <c r="B72" s="17" t="inlineStr">
        <is>
          <t>delivery_chain</t>
        </is>
      </c>
      <c r="C72" s="17" t="inlineStr">
        <is>
          <t>ECO-01</t>
        </is>
      </c>
      <c r="D72" s="17" t="inlineStr">
        <is>
          <t>software</t>
        </is>
      </c>
      <c r="E72" s="17" t="inlineStr">
        <is>
          <t>owned_web</t>
        </is>
      </c>
      <c r="F72" s="18" t="inlineStr">
        <is>
          <t>A cadeia de entrega do lancamento e definida como pacote fechado com dez elos obrigatorios.</t>
        </is>
      </c>
      <c r="G72" s="18" t="inlineStr">
        <is>
          <t>DOC-C06-001: 'conteudo -&gt; assets -&gt; CTA -&gt; brinde -&gt; destino -&gt; CMS -&gt; distribuicao -&gt; agendamento -&gt; tracking -&gt; evidencia = DONE'; regra de ouro: 'Nenhum output produzido pode ficar orfao'.</t>
        </is>
      </c>
      <c r="H72" s="17" t="inlineStr">
        <is>
          <t>DOC-C06-001;DOC-C08-003</t>
        </is>
      </c>
      <c r="I72" s="17" t="inlineStr">
        <is>
          <t>strong</t>
        </is>
      </c>
      <c r="J72" s="17" t="inlineStr">
        <is>
          <t>0.9</t>
        </is>
      </c>
      <c r="K72" s="17" t="inlineStr">
        <is>
          <t>fact</t>
        </is>
      </c>
      <c r="L72" s="17" t="inlineStr">
        <is>
          <t>high</t>
        </is>
      </c>
      <c r="M72" s="17" t="inlineStr">
        <is>
          <t>high</t>
        </is>
      </c>
      <c r="N72" s="18" t="inlineStr">
        <is>
          <t>Usar a cadeia como unica definicao de pronto; 'texto terminado' ou 'video pronto' nao pode aparecer como progresso no painel.</t>
        </is>
      </c>
    </row>
    <row r="73">
      <c r="A73" s="17" t="inlineStr">
        <is>
          <t>SA-07A</t>
        </is>
      </c>
      <c r="B73" s="17" t="inlineStr">
        <is>
          <t>service_chain</t>
        </is>
      </c>
      <c r="C73" s="17" t="inlineStr">
        <is>
          <t>ECO-07</t>
        </is>
      </c>
      <c r="D73" s="17" t="inlineStr">
        <is>
          <t>professional_service</t>
        </is>
      </c>
      <c r="E73" s="17" t="inlineStr">
        <is>
          <t>direct_sales</t>
        </is>
      </c>
      <c r="F73" s="18" t="inlineStr">
        <is>
          <t>A cadeia de servico tem nove etapas em aproximadamente sete dias, do formulario ao pos-entrega.</t>
        </is>
      </c>
      <c r="G73" s="18" t="inlineStr">
        <is>
          <t>DOC-C05-001: 'Jornada de aproximadamente sete dias, com formulario inicial, consulta extensa, desenvolvimento, prototipo, teste, refinamento, entrega, onboarding e periodo posterior para duvidas'.</t>
        </is>
      </c>
      <c r="H73" s="17" t="inlineStr">
        <is>
          <t>DOC-C05-001;DOC-C11-010;DOC-C12-003</t>
        </is>
      </c>
      <c r="I73" s="17" t="inlineStr">
        <is>
          <t>strong</t>
        </is>
      </c>
      <c r="J73" s="17" t="inlineStr">
        <is>
          <t>0.85</t>
        </is>
      </c>
      <c r="K73" s="17" t="inlineStr">
        <is>
          <t>fact</t>
        </is>
      </c>
      <c r="L73" s="17" t="inlineStr">
        <is>
          <t>high</t>
        </is>
      </c>
      <c r="M73" s="17" t="inlineStr">
        <is>
          <t>medium</t>
        </is>
      </c>
      <c r="N73" s="18" t="inlineStr">
        <is>
          <t>Cronometrar as nove etapas no primeiro cliente real; nove etapas em sete dias e o principal risco de sobrecompromisso do Estudio.</t>
        </is>
      </c>
    </row>
    <row r="74">
      <c r="A74" s="17" t="inlineStr">
        <is>
          <t>SA-07A</t>
        </is>
      </c>
      <c r="B74" s="17" t="inlineStr">
        <is>
          <t>ecosystem_loop</t>
        </is>
      </c>
      <c r="C74" s="17" t="inlineStr">
        <is>
          <t>ECO-01</t>
        </is>
      </c>
      <c r="D74" s="17" t="inlineStr">
        <is>
          <t>software</t>
        </is>
      </c>
      <c r="E74" s="17" t="n"/>
      <c r="F74" s="18" t="inlineStr">
        <is>
          <t>O ecossistema e desenhado como ciclo em que o proprio produto serve de showroom da capacidade de servico.</t>
        </is>
      </c>
      <c r="G74" s="18" t="inlineStr">
        <is>
          <t>DOC-C05-001: 'Autoridade pessoal -&gt; Conteudo -&gt; Produtos -&gt; Demonstracao pratica -&gt; Servico -&gt; Cliente -&gt; Caso real -&gt; Portfolio -&gt; Mais autoridade'; e 'o Executar nao e apenas um produto... funciona simultaneamente como produto, laboratorio, prova de competencia, showroom e principal ativo de autoridade comercial'.</t>
        </is>
      </c>
      <c r="H74" s="17" t="inlineStr">
        <is>
          <t>DOC-C05-001</t>
        </is>
      </c>
      <c r="I74" s="17" t="inlineStr">
        <is>
          <t>strong</t>
        </is>
      </c>
      <c r="J74" s="17" t="inlineStr">
        <is>
          <t>0.9</t>
        </is>
      </c>
      <c r="K74" s="17" t="inlineStr">
        <is>
          <t>fact</t>
        </is>
      </c>
      <c r="L74" s="17" t="inlineStr">
        <is>
          <t>high</t>
        </is>
      </c>
      <c r="M74" s="17" t="inlineStr">
        <is>
          <t>medium</t>
        </is>
      </c>
      <c r="N74" s="18" t="inlineStr">
        <is>
          <t>Explorar o loop deliberadamente: cada release do app deve gerar um ativo de demonstracao reutilizavel pelo Estudio.</t>
        </is>
      </c>
    </row>
    <row r="75">
      <c r="A75" s="17" t="inlineStr">
        <is>
          <t>SA-07A</t>
        </is>
      </c>
      <c r="B75" s="17" t="inlineStr">
        <is>
          <t>tech_stack</t>
        </is>
      </c>
      <c r="C75" s="17" t="inlineStr">
        <is>
          <t>ECO-02</t>
        </is>
      </c>
      <c r="D75" s="17" t="inlineStr">
        <is>
          <t>content_community</t>
        </is>
      </c>
      <c r="E75" s="17" t="inlineStr">
        <is>
          <t>owned_web</t>
        </is>
      </c>
      <c r="F75" s="18" t="inlineStr">
        <is>
          <t>A infraestrutura editorial esta definida e tem criterio de aceite operacional, nao tecnico.</t>
        </is>
      </c>
      <c r="G75" s="18" t="inlineStr">
        <is>
          <t>DOC-C02-017: 'Vercel Payload Website Starter + Next.js + Payload CMS + PostgreSQL/Neon + Vercel Blob'; DoD: 'Abrir /admin -&gt; criar artigo -&gt; ... -&gt; publicar, sem editar codigo'.</t>
        </is>
      </c>
      <c r="H75" s="17" t="inlineStr">
        <is>
          <t>DOC-C02-017;DOC-C02-043</t>
        </is>
      </c>
      <c r="I75" s="17" t="inlineStr">
        <is>
          <t>strong</t>
        </is>
      </c>
      <c r="J75" s="17" t="inlineStr">
        <is>
          <t>0.9</t>
        </is>
      </c>
      <c r="K75" s="17" t="inlineStr">
        <is>
          <t>fact</t>
        </is>
      </c>
      <c r="L75" s="17" t="inlineStr">
        <is>
          <t>high</t>
        </is>
      </c>
      <c r="M75" s="17" t="inlineStr">
        <is>
          <t>high</t>
        </is>
      </c>
      <c r="N75" s="18" t="inlineStr">
        <is>
          <t>Validar o DoD com uma publicacao de teste ponta a ponta antes do D1 editorial; sem isso a campanha de 14 dias nao pode comecar.</t>
        </is>
      </c>
    </row>
    <row r="76">
      <c r="A76" s="17" t="inlineStr">
        <is>
          <t>SA-07B</t>
        </is>
      </c>
      <c r="B76" s="17" t="inlineStr">
        <is>
          <t>engineering</t>
        </is>
      </c>
      <c r="C76" s="17" t="inlineStr">
        <is>
          <t>ECO-01</t>
        </is>
      </c>
      <c r="D76" s="17" t="inlineStr">
        <is>
          <t>software</t>
        </is>
      </c>
      <c r="E76" s="17" t="inlineStr">
        <is>
          <t>app</t>
        </is>
      </c>
      <c r="F76" s="18" t="inlineStr">
        <is>
          <t>A capacidade de engenharia esta comprovada por estado real de repositorio, nao por declaracao.</t>
        </is>
      </c>
      <c r="G76" s="18" t="inlineStr">
        <is>
          <t>DOC-C04-002: 'HEAD de main: 4c8f360 (merge do PR #77)... typecheck limpo... 51/51 vitest passando... 347/347 testes de governanca... CI 3/3 checks verdes em cada um dos PRs mesclados'; handoff gerado 'a partir do estado real do repositorio (git log + GitHub API)'.</t>
        </is>
      </c>
      <c r="H76" s="17" t="inlineStr">
        <is>
          <t>DOC-C04-002</t>
        </is>
      </c>
      <c r="I76" s="17" t="inlineStr">
        <is>
          <t>strong</t>
        </is>
      </c>
      <c r="J76" s="17" t="inlineStr">
        <is>
          <t>0.9</t>
        </is>
      </c>
      <c r="K76" s="17" t="inlineStr">
        <is>
          <t>fact</t>
        </is>
      </c>
      <c r="L76" s="17" t="inlineStr">
        <is>
          <t>high</t>
        </is>
      </c>
      <c r="M76" s="17" t="inlineStr">
        <is>
          <t>medium</t>
        </is>
      </c>
      <c r="N76" s="18" t="inlineStr">
        <is>
          <t>Usar o handoff como prova de capacidade nas pecas do Estudio; e a evidencia mais forte de competencia tecnica do acervo.</t>
        </is>
      </c>
    </row>
    <row r="77">
      <c r="A77" s="17" t="inlineStr">
        <is>
          <t>SA-07B</t>
        </is>
      </c>
      <c r="B77" s="17" t="inlineStr">
        <is>
          <t>product_engine</t>
        </is>
      </c>
      <c r="C77" s="17" t="inlineStr">
        <is>
          <t>ECO-01</t>
        </is>
      </c>
      <c r="D77" s="17" t="inlineStr">
        <is>
          <t>software</t>
        </is>
      </c>
      <c r="E77" s="17" t="inlineStr">
        <is>
          <t>app</t>
        </is>
      </c>
      <c r="F77" s="18" t="inlineStr">
        <is>
          <t>O diferencial declarado e arquitetural: plano estavel com rota recalculada, nao uma feature isolada.</t>
        </is>
      </c>
      <c r="G77" s="18" t="inlineStr">
        <is>
          <t>DOC-C05-001: 'Tempo disponivel, dependencias, WIP e ciclo definem elegibilidade; Flow Score e Context Score ordenam as alternativas; Progress Points registram somente o trabalho efetivamente concluido'; 'PLAN != ROUTE / ROUTE subconjunto de PLAN'; mensagem: 'O plano continua. A rota se adapta. Voce executa.'</t>
        </is>
      </c>
      <c r="H77" s="17" t="inlineStr">
        <is>
          <t>DOC-C05-001</t>
        </is>
      </c>
      <c r="I77" s="17" t="inlineStr">
        <is>
          <t>strong</t>
        </is>
      </c>
      <c r="J77" s="17" t="inlineStr">
        <is>
          <t>0.9</t>
        </is>
      </c>
      <c r="K77" s="17" t="inlineStr">
        <is>
          <t>fact</t>
        </is>
      </c>
      <c r="L77" s="17" t="inlineStr">
        <is>
          <t>high</t>
        </is>
      </c>
      <c r="M77" s="17" t="inlineStr">
        <is>
          <t>high</t>
        </is>
      </c>
      <c r="N77" s="18" t="inlineStr">
        <is>
          <t>Demonstrar o recalculo de rota ao vivo (Cena B da DOC-C11-004) - e a unica prova visual do diferencial que nao pode ser copiada em copy.</t>
        </is>
      </c>
    </row>
    <row r="78">
      <c r="A78" s="17" t="inlineStr">
        <is>
          <t>SA-07B</t>
        </is>
      </c>
      <c r="B78" s="17" t="inlineStr">
        <is>
          <t>epistemic_governance</t>
        </is>
      </c>
      <c r="C78" s="17" t="inlineStr">
        <is>
          <t>ECO-01</t>
        </is>
      </c>
      <c r="D78" s="17" t="inlineStr">
        <is>
          <t>software</t>
        </is>
      </c>
      <c r="E78" s="17" t="n"/>
      <c r="F78" s="18" t="inlineStr">
        <is>
          <t>Existe uma capacidade rara no acervo: governanca epistemologica que separa candidato de verificado.</t>
        </is>
      </c>
      <c r="G78" s="18" t="inlineStr">
        <is>
          <t>DOC-C07-009, invariantes: 'original != extracao != evidencia != decisao - candidate != verified - benchmark != dado do EXECUTAR - modelo economico != unit economics observado - literatura externa != eficacia do EXECUTAR - similaridade != suporte factual'.</t>
        </is>
      </c>
      <c r="H78" s="17" t="inlineStr">
        <is>
          <t>DOC-C07-009;DOC-C07-007</t>
        </is>
      </c>
      <c r="I78" s="17" t="inlineStr">
        <is>
          <t>strong</t>
        </is>
      </c>
      <c r="J78" s="17" t="inlineStr">
        <is>
          <t>0.9</t>
        </is>
      </c>
      <c r="K78" s="17" t="inlineStr">
        <is>
          <t>fact</t>
        </is>
      </c>
      <c r="L78" s="17" t="inlineStr">
        <is>
          <t>high</t>
        </is>
      </c>
      <c r="M78" s="17" t="inlineStr">
        <is>
          <t>medium</t>
        </is>
      </c>
      <c r="N78" s="18" t="inlineStr">
        <is>
          <t>Transformar a governanca em ativo publico (pagina de metodo): ela e um diferencial defensavel frente a concorrentes de infoproduto.</t>
        </is>
      </c>
    </row>
    <row r="79">
      <c r="A79" s="17" t="inlineStr">
        <is>
          <t>SA-07B</t>
        </is>
      </c>
      <c r="B79" s="17" t="inlineStr">
        <is>
          <t>framework_components</t>
        </is>
      </c>
      <c r="C79" s="17" t="inlineStr">
        <is>
          <t>ECO-03</t>
        </is>
      </c>
      <c r="D79" s="17" t="inlineStr">
        <is>
          <t>digital_product</t>
        </is>
      </c>
      <c r="E79" s="17" t="n"/>
      <c r="F79" s="18" t="inlineStr">
        <is>
          <t>O framework CERM tem cinco componentes provisorios e uma arquitetura de sete elos.</t>
        </is>
      </c>
      <c r="G79" s="18" t="inlineStr">
        <is>
          <t>DOC-C02-016: arquitetura 'Perfil executivo -&gt; demanda cognitiva -&gt; risco de execucao -&gt; impacto/probabilidade -&gt; controle compensatorio -&gt; monitoramento -&gt; evidencia/feedback'; componentes: Cognitive Risk Profile, Cognitive Demand Map, Cognitive Risk Register, Compensating Controls, Execution Evidence.</t>
        </is>
      </c>
      <c r="H79" s="17" t="inlineStr">
        <is>
          <t>DOC-C02-016;DOC-C02-031</t>
        </is>
      </c>
      <c r="I79" s="17" t="inlineStr">
        <is>
          <t>strong</t>
        </is>
      </c>
      <c r="J79" s="17" t="inlineStr">
        <is>
          <t>0.9</t>
        </is>
      </c>
      <c r="K79" s="17" t="inlineStr">
        <is>
          <t>fact</t>
        </is>
      </c>
      <c r="L79" s="17" t="inlineStr">
        <is>
          <t>high</t>
        </is>
      </c>
      <c r="M79" s="17" t="inlineStr">
        <is>
          <t>medium</t>
        </is>
      </c>
      <c r="N79" s="18" t="inlineStr">
        <is>
          <t>Mapear cada um dos cinco componentes contra um modulo existente do app; o que nao tiver correspondencia e a proxima especificacao de produto.</t>
        </is>
      </c>
    </row>
    <row r="80">
      <c r="A80" s="17" t="inlineStr">
        <is>
          <t>SA-07B</t>
        </is>
      </c>
      <c r="B80" s="17" t="inlineStr">
        <is>
          <t>method_capability</t>
        </is>
      </c>
      <c r="C80" s="17" t="inlineStr">
        <is>
          <t>ECO-03</t>
        </is>
      </c>
      <c r="D80" s="17" t="inlineStr">
        <is>
          <t>digital_product</t>
        </is>
      </c>
      <c r="E80" s="17" t="n"/>
      <c r="F80" s="18" t="inlineStr">
        <is>
          <t>O framework editorial de sete etapas e declarado como adaptacao da logica da ISO 31000, nao como norma.</t>
        </is>
      </c>
      <c r="G80" s="18" t="inlineStr">
        <is>
          <t>DOC-C01-005: 'Contexto -&gt; Identificar -&gt; Analisar -&gt; Avaliar -&gt; Tratar -&gt; Controlar -&gt; Monitorar'; ressalva: 'seria um framework seu inspirado na ISO 31000, nao um protocolo clinico ou uma metodologia oficialmente reconhecida pela ISO'.</t>
        </is>
      </c>
      <c r="H80" s="17" t="inlineStr">
        <is>
          <t>DOC-C01-005;DOC-C03-002</t>
        </is>
      </c>
      <c r="I80" s="17" t="inlineStr">
        <is>
          <t>strong</t>
        </is>
      </c>
      <c r="J80" s="17" t="inlineStr">
        <is>
          <t>0.9</t>
        </is>
      </c>
      <c r="K80" s="17" t="inlineStr">
        <is>
          <t>fact</t>
        </is>
      </c>
      <c r="L80" s="17" t="inlineStr">
        <is>
          <t>high</t>
        </is>
      </c>
      <c r="M80" s="17" t="inlineStr">
        <is>
          <t>medium</t>
        </is>
      </c>
      <c r="N80" s="18" t="inlineStr">
        <is>
          <t>Repetir a ressalva em toda peca que citar ISO 31000; e o ponto onde a credibilidade e mais facil de perder.</t>
        </is>
      </c>
    </row>
    <row r="81">
      <c r="A81" s="17" t="inlineStr">
        <is>
          <t>SA-07B</t>
        </is>
      </c>
      <c r="B81" s="17" t="inlineStr">
        <is>
          <t>capacity_constraint</t>
        </is>
      </c>
      <c r="C81" s="17" t="inlineStr">
        <is>
          <t>ECO-07</t>
        </is>
      </c>
      <c r="D81" s="17" t="inlineStr">
        <is>
          <t>professional_service</t>
        </is>
      </c>
      <c r="E81" s="17" t="inlineStr">
        <is>
          <t>direct_sales</t>
        </is>
      </c>
      <c r="F81" s="18" t="inlineStr">
        <is>
          <t>A capacidade do Estudio e uma pessoa, e isso e apresentado como diferencial e nao como limite.</t>
        </is>
      </c>
      <c r="G81" s="18" t="inlineStr">
        <is>
          <t>DOC-C05-001: 'Limite de um cliente por semana, apresentado como diferencial do servico'; nenhum documento lido preve equipe, subcontratacao ou padronizacao de entrega.</t>
        </is>
      </c>
      <c r="H81" s="17" t="inlineStr">
        <is>
          <t>DOC-C05-001;DOC-C09-006</t>
        </is>
      </c>
      <c r="I81" s="17" t="inlineStr">
        <is>
          <t>strong</t>
        </is>
      </c>
      <c r="J81" s="17" t="inlineStr">
        <is>
          <t>0.85</t>
        </is>
      </c>
      <c r="K81" s="17" t="inlineStr">
        <is>
          <t>fact</t>
        </is>
      </c>
      <c r="L81" s="17" t="inlineStr">
        <is>
          <t>high</t>
        </is>
      </c>
      <c r="M81" s="17" t="inlineStr">
        <is>
          <t>high</t>
        </is>
      </c>
      <c r="N81" s="18" t="inlineStr">
        <is>
          <t>Padronizar 3 entregaveis repetiveis (os das tres familias) para reduzir o custo marginal por cliente antes de considerar aumentar preco ou volume.</t>
        </is>
      </c>
    </row>
    <row r="82">
      <c r="A82" s="17" t="inlineStr">
        <is>
          <t>SA-07B</t>
        </is>
      </c>
      <c r="B82" s="17" t="inlineStr">
        <is>
          <t>execution_capacity</t>
        </is>
      </c>
      <c r="C82" s="17" t="inlineStr">
        <is>
          <t>ECO-01</t>
        </is>
      </c>
      <c r="D82" s="17" t="inlineStr">
        <is>
          <t>software</t>
        </is>
      </c>
      <c r="E82" s="17" t="n"/>
      <c r="F82" s="18" t="inlineStr">
        <is>
          <t>O plano de entregaveis mostra 33 de 43 itens ainda ATIVOS as vesperas do lancamento.</t>
        </is>
      </c>
      <c r="G82" s="18" t="inlineStr">
        <is>
          <t>DOC-C02-004: 43 linhas, status 'ATIVO' 33 e 'CONCLUIDO' 10, distribuidas em 10 areas (APP 6, Editorial 6, GTM 5, Produtos Fisicos 5, Infoprodutos 5, Showroom 5, Dados 4, Studio 4, Freeze/Launch 2, Governanca 1).</t>
        </is>
      </c>
      <c r="H82" s="17" t="inlineStr">
        <is>
          <t>DOC-C02-004</t>
        </is>
      </c>
      <c r="I82" s="17" t="inlineStr">
        <is>
          <t>strong</t>
        </is>
      </c>
      <c r="J82" s="17" t="inlineStr">
        <is>
          <t>0.85</t>
        </is>
      </c>
      <c r="K82" s="17" t="inlineStr">
        <is>
          <t>fact</t>
        </is>
      </c>
      <c r="L82" s="17" t="inlineStr">
        <is>
          <t>high</t>
        </is>
      </c>
      <c r="M82" s="17" t="inlineStr">
        <is>
          <t>high</t>
        </is>
      </c>
      <c r="N82" s="18" t="inlineStr">
        <is>
          <t>Cortar escopo por area antes de cortar qualidade: com 60h comprometidas, 33 entregaveis ativos em 10 frentes e o principal risco do 07/09.</t>
        </is>
      </c>
    </row>
    <row r="83">
      <c r="A83" s="17" t="inlineStr">
        <is>
          <t>SA-08A</t>
        </is>
      </c>
      <c r="B83" s="17" t="inlineStr">
        <is>
          <t>customer</t>
        </is>
      </c>
      <c r="C83" s="17" t="inlineStr">
        <is>
          <t>ECO-01</t>
        </is>
      </c>
      <c r="D83" s="17" t="inlineStr">
        <is>
          <t>software</t>
        </is>
      </c>
      <c r="E83" s="17" t="inlineStr">
        <is>
          <t>app</t>
        </is>
      </c>
      <c r="F83" s="18" t="inlineStr">
        <is>
          <t>O cliente e definido por comportamento observavel e por um evento de valor unico.</t>
        </is>
      </c>
      <c r="G83" s="18" t="inlineStr">
        <is>
          <t>ICP-01 (comportamento, sem diagnostico) combinado a VALUE_EVENT-01 e aos endpoints funcionais time_to_next_action, resume_latency, completion_rate, context_reconstruction, execution_cycles_per_week e abandonment_rate.</t>
        </is>
      </c>
      <c r="H83" s="17" t="inlineStr">
        <is>
          <t>DOC-C07-009</t>
        </is>
      </c>
      <c r="I83" s="17" t="inlineStr">
        <is>
          <t>strong</t>
        </is>
      </c>
      <c r="J83" s="17" t="inlineStr">
        <is>
          <t>0.85</t>
        </is>
      </c>
      <c r="K83" s="17" t="inlineStr">
        <is>
          <t>fact</t>
        </is>
      </c>
      <c r="L83" s="17" t="inlineStr">
        <is>
          <t>high</t>
        </is>
      </c>
      <c r="M83" s="17" t="inlineStr">
        <is>
          <t>high</t>
        </is>
      </c>
      <c r="N83" s="18" t="inlineStr">
        <is>
          <t>Fazer do painel de ativacao o primeiro dashboard interno pos-lancamento, nao o de downloads.</t>
        </is>
      </c>
    </row>
    <row r="84">
      <c r="A84" s="17" t="inlineStr">
        <is>
          <t>SA-08B</t>
        </is>
      </c>
      <c r="B84" s="17" t="inlineStr">
        <is>
          <t>company</t>
        </is>
      </c>
      <c r="C84" s="17" t="inlineStr">
        <is>
          <t>ECO-01</t>
        </is>
      </c>
      <c r="D84" s="17" t="inlineStr">
        <is>
          <t>software</t>
        </is>
      </c>
      <c r="E84" s="17" t="n"/>
      <c r="F84" s="18" t="inlineStr">
        <is>
          <t>A companhia e um operador unico que sustenta simultaneamente app, blog, framework, servicos, infoprodutos, produtos fisicos e afiliados.</t>
        </is>
      </c>
      <c r="G84" s="18" t="inlineStr">
        <is>
          <t>DOC-C05-001 e DOC-C06-001 descrevem sete frentes com capacidade declarada de 6h/dia e 60h comprometidas em 12 dias; DOC-C02-004 confirma 10 areas de entregavel simultaneas.</t>
        </is>
      </c>
      <c r="H84" s="17" t="inlineStr">
        <is>
          <t>DOC-C05-001;DOC-C06-001;DOC-C02-004</t>
        </is>
      </c>
      <c r="I84" s="17" t="inlineStr">
        <is>
          <t>strong</t>
        </is>
      </c>
      <c r="J84" s="17" t="inlineStr">
        <is>
          <t>0.85</t>
        </is>
      </c>
      <c r="K84" s="17" t="inlineStr">
        <is>
          <t>inference</t>
        </is>
      </c>
      <c r="L84" s="17" t="inlineStr">
        <is>
          <t>high</t>
        </is>
      </c>
      <c r="M84" s="17" t="inlineStr">
        <is>
          <t>high</t>
        </is>
      </c>
      <c r="N84" s="18" t="inlineStr">
        <is>
          <t>Nomear explicitamente qual unidade e prioritaria em caso de conflito de agenda; hoje o plano assume que todas cabem.</t>
        </is>
      </c>
    </row>
    <row r="85">
      <c r="A85" s="17" t="inlineStr">
        <is>
          <t>SA-08C</t>
        </is>
      </c>
      <c r="B85" s="17" t="inlineStr">
        <is>
          <t>competitor</t>
        </is>
      </c>
      <c r="C85" s="17" t="inlineStr">
        <is>
          <t>ECO-02</t>
        </is>
      </c>
      <c r="D85" s="17" t="inlineStr">
        <is>
          <t>content_community</t>
        </is>
      </c>
      <c r="E85" s="17" t="inlineStr">
        <is>
          <t>owned_web</t>
        </is>
      </c>
      <c r="F85" s="18" t="inlineStr">
        <is>
          <t>O concorrente relevante do blog nao e outro blog de TDAH, e sim a categoria de conteudo de produtividade e a de conteudo clinico.</t>
        </is>
      </c>
      <c r="G85" s="18" t="inlineStr">
        <is>
          <t>DOC-C01-005: 'Eu nao posicionaria Risco Cognitivo como mais um blog sobre TDAH'; QL-0017 divide o setor em midia/autoridade medica, infoprodutores, e-commerce de nicho e instituicoes/clinicas.</t>
        </is>
      </c>
      <c r="H85" s="17" t="inlineStr">
        <is>
          <t>DOC-C01-005;DOC-C07-007</t>
        </is>
      </c>
      <c r="I85" s="17" t="inlineStr">
        <is>
          <t>moderate</t>
        </is>
      </c>
      <c r="J85" s="17" t="inlineStr">
        <is>
          <t>0.75</t>
        </is>
      </c>
      <c r="K85" s="17" t="inlineStr">
        <is>
          <t>inference</t>
        </is>
      </c>
      <c r="L85" s="17" t="inlineStr">
        <is>
          <t>medium</t>
        </is>
      </c>
      <c r="M85" s="17" t="inlineStr">
        <is>
          <t>medium</t>
        </is>
      </c>
      <c r="N85" s="18" t="inlineStr">
        <is>
          <t>Medir share of search nos cinco termos ja levantados como proxy de posicao competitiva na categoria escolhida.</t>
        </is>
      </c>
    </row>
    <row r="86">
      <c r="A86" s="17" t="inlineStr">
        <is>
          <t>SA-09A</t>
        </is>
      </c>
      <c r="B86" s="17" t="inlineStr">
        <is>
          <t>strength</t>
        </is>
      </c>
      <c r="C86" s="17" t="inlineStr">
        <is>
          <t>ECO-01</t>
        </is>
      </c>
      <c r="D86" s="17" t="inlineStr">
        <is>
          <t>software</t>
        </is>
      </c>
      <c r="E86" s="17" t="inlineStr">
        <is>
          <t>app</t>
        </is>
      </c>
      <c r="F86" s="18" t="inlineStr">
        <is>
          <t>Forca: produto real em producao com governanca de evidencia e 22 decisoes operacionais documentadas.</t>
        </is>
      </c>
      <c r="G86" s="18" t="inlineStr">
        <is>
          <t>DOC-C04-002 comprova repositorio, CI e testes; DOC-C07-009 registra '22 decisoes operacionais: 15 produto/seguranca + 7 negocio/pesquisa'.</t>
        </is>
      </c>
      <c r="H86" s="17" t="inlineStr">
        <is>
          <t>DOC-C04-002;DOC-C07-009</t>
        </is>
      </c>
      <c r="I86" s="17" t="inlineStr">
        <is>
          <t>strong</t>
        </is>
      </c>
      <c r="J86" s="17" t="inlineStr">
        <is>
          <t>0.85</t>
        </is>
      </c>
      <c r="K86" s="17" t="inlineStr">
        <is>
          <t>fact</t>
        </is>
      </c>
      <c r="L86" s="17" t="inlineStr">
        <is>
          <t>high</t>
        </is>
      </c>
      <c r="M86" s="17" t="inlineStr">
        <is>
          <t>medium</t>
        </is>
      </c>
      <c r="N86" s="18" t="inlineStr">
        <is>
          <t>Usar as 22 decisoes como backlog de requisitos rastreaveis; poucos concorrentes conseguem mostrar essa cadeia.</t>
        </is>
      </c>
    </row>
    <row r="87">
      <c r="A87" s="17" t="inlineStr">
        <is>
          <t>SA-09B</t>
        </is>
      </c>
      <c r="B87" s="17" t="inlineStr">
        <is>
          <t>weakness</t>
        </is>
      </c>
      <c r="C87" s="17" t="inlineStr">
        <is>
          <t>ECO-01</t>
        </is>
      </c>
      <c r="D87" s="17" t="inlineStr">
        <is>
          <t>software</t>
        </is>
      </c>
      <c r="E87" s="17" t="inlineStr">
        <is>
          <t>app</t>
        </is>
      </c>
      <c r="F87" s="18" t="inlineStr">
        <is>
          <t>Fraqueza: zero registros no gate estrito de verificacao e nenhum cliente pagante.</t>
        </is>
      </c>
      <c r="G87" s="18" t="inlineStr">
        <is>
          <t>DOC-C07-009: 'Strict VERIFIED 0 - gate factual permanece preservado'; '161 evidence candidates'; 'governed_verified_links: 0'; gaps de CAC/LTV/PMF com 'remaining: Campanhas e clientes pagantes' e 'Cohort real'.</t>
        </is>
      </c>
      <c r="H87" s="17" t="inlineStr">
        <is>
          <t>DOC-C07-009</t>
        </is>
      </c>
      <c r="I87" s="17" t="inlineStr">
        <is>
          <t>strong</t>
        </is>
      </c>
      <c r="J87" s="17" t="inlineStr">
        <is>
          <t>0.9</t>
        </is>
      </c>
      <c r="K87" s="17" t="inlineStr">
        <is>
          <t>fact</t>
        </is>
      </c>
      <c r="L87" s="17" t="inlineStr">
        <is>
          <t>high</t>
        </is>
      </c>
      <c r="M87" s="17" t="inlineStr">
        <is>
          <t>high</t>
        </is>
      </c>
      <c r="N87" s="18" t="inlineStr">
        <is>
          <t>Aceitar que o lancamento de 07/09 e um experimento de aquisicao, nao uma operacao comercial validada, e comunicar internamente assim.</t>
        </is>
      </c>
    </row>
    <row r="88">
      <c r="A88" s="17" t="inlineStr">
        <is>
          <t>SA-09C</t>
        </is>
      </c>
      <c r="B88" s="17" t="inlineStr">
        <is>
          <t>opportunity</t>
        </is>
      </c>
      <c r="C88" s="17" t="inlineStr">
        <is>
          <t>ECO-03</t>
        </is>
      </c>
      <c r="D88" s="17" t="inlineStr">
        <is>
          <t>digital_product</t>
        </is>
      </c>
      <c r="E88" s="17" t="n"/>
      <c r="F88" s="18" t="inlineStr">
        <is>
          <t>Oportunidade: converter a matriz GP-01..GP-11 em white paper citavel antes que o campo se popule.</t>
        </is>
      </c>
      <c r="G88" s="18" t="inlineStr">
        <is>
          <t>DOC-C02-015 preve 'White paper v1 de 15-30 paginas' e 'DOI somente apos estabilizacao'; DOC-C02-042 registra que a APM ja publicou formulacao proxima em 26/08/2026.</t>
        </is>
      </c>
      <c r="H88" s="17" t="inlineStr">
        <is>
          <t>DOC-C02-015;DOC-C02-042;DOC-C07-003</t>
        </is>
      </c>
      <c r="I88" s="17" t="inlineStr">
        <is>
          <t>moderate</t>
        </is>
      </c>
      <c r="J88" s="17" t="inlineStr">
        <is>
          <t>0.75</t>
        </is>
      </c>
      <c r="K88" s="17" t="inlineStr">
        <is>
          <t>inference</t>
        </is>
      </c>
      <c r="L88" s="17" t="inlineStr">
        <is>
          <t>high</t>
        </is>
      </c>
      <c r="M88" s="17" t="inlineStr">
        <is>
          <t>high</t>
        </is>
      </c>
      <c r="N88" s="18" t="inlineStr">
        <is>
          <t>Antecipar o white paper para logo apos a campanha editorial; a janela de anterioridade esta se fechando.</t>
        </is>
      </c>
    </row>
    <row r="89">
      <c r="A89" s="17" t="inlineStr">
        <is>
          <t>SA-09D</t>
        </is>
      </c>
      <c r="B89" s="17" t="inlineStr">
        <is>
          <t>threat</t>
        </is>
      </c>
      <c r="C89" s="17" t="inlineStr">
        <is>
          <t>ECO-02</t>
        </is>
      </c>
      <c r="D89" s="17" t="inlineStr">
        <is>
          <t>content_community</t>
        </is>
      </c>
      <c r="E89" s="17" t="inlineStr">
        <is>
          <t>owned_web</t>
        </is>
      </c>
      <c r="F89" s="18" t="inlineStr">
        <is>
          <t>Ameaca: saturacao e desinformacao no tema podem derrubar a confianca do publico.</t>
        </is>
      </c>
      <c r="G89" s="18" t="inlineStr">
        <is>
          <t>QL-0015: 'Conteudo superficial e desinformacao sao tratados como riscos de saturacao e perda de confianca'; QL-0013 descreve 'transicao de conscientizacao acelerada para maturacao e monetizacao do mercado'.</t>
        </is>
      </c>
      <c r="H89" s="17" t="inlineStr">
        <is>
          <t>DOC-C07-007</t>
        </is>
      </c>
      <c r="I89" s="17" t="inlineStr">
        <is>
          <t>moderate</t>
        </is>
      </c>
      <c r="J89" s="17" t="inlineStr">
        <is>
          <t>0.7</t>
        </is>
      </c>
      <c r="K89" s="17" t="inlineStr">
        <is>
          <t>fact</t>
        </is>
      </c>
      <c r="L89" s="17" t="inlineStr">
        <is>
          <t>high</t>
        </is>
      </c>
      <c r="M89" s="17" t="inlineStr">
        <is>
          <t>medium</t>
        </is>
      </c>
      <c r="N89" s="18" t="inlineStr">
        <is>
          <t>Fazer da politica de citacao e da separacao evidencia/interpretacao um elemento visivel da marca, nao um detalhe interno.</t>
        </is>
      </c>
    </row>
    <row r="90">
      <c r="A90" s="17" t="inlineStr">
        <is>
          <t>SA-09D</t>
        </is>
      </c>
      <c r="B90" s="17" t="inlineStr">
        <is>
          <t>threat</t>
        </is>
      </c>
      <c r="C90" s="17" t="inlineStr">
        <is>
          <t>ECO-01</t>
        </is>
      </c>
      <c r="D90" s="17" t="inlineStr">
        <is>
          <t>software</t>
        </is>
      </c>
      <c r="E90" s="17" t="inlineStr">
        <is>
          <t>app</t>
        </is>
      </c>
      <c r="F90" s="18" t="inlineStr">
        <is>
          <t>Ameaca: uma unica peca de copy com claim clinico pode acionar risco regulatorio e reputacional simultaneo.</t>
        </is>
      </c>
      <c r="G90" s="18" t="inlineStr">
        <is>
          <t>CLAIM-01 exige 'Revisao juridica/regulatoria da copy final e auditoria de implementacao'; a lista de proibidos inclui 'Cientificamente comprovado para TDAH', e o funil de lancamento parte de conteudo sobre TDAH.</t>
        </is>
      </c>
      <c r="H90" s="17" t="inlineStr">
        <is>
          <t>DOC-C07-009;DOC-C10-011;DOC-C10-019</t>
        </is>
      </c>
      <c r="I90" s="17" t="inlineStr">
        <is>
          <t>strong</t>
        </is>
      </c>
      <c r="J90" s="17" t="inlineStr">
        <is>
          <t>0.85</t>
        </is>
      </c>
      <c r="K90" s="17" t="inlineStr">
        <is>
          <t>inference</t>
        </is>
      </c>
      <c r="L90" s="17" t="inlineStr">
        <is>
          <t>high</t>
        </is>
      </c>
      <c r="M90" s="17" t="inlineStr">
        <is>
          <t>high</t>
        </is>
      </c>
      <c r="N90" s="18" t="inlineStr">
        <is>
          <t>Inserir um gate de revisao de claims no fluxo de publicacao, entre 'texto aprovado' e 'CMS carregado'.</t>
        </is>
      </c>
    </row>
    <row r="91">
      <c r="A91" s="17" t="inlineStr">
        <is>
          <t>SA-09B</t>
        </is>
      </c>
      <c r="B91" s="17" t="inlineStr">
        <is>
          <t>weakness</t>
        </is>
      </c>
      <c r="C91" s="17" t="inlineStr">
        <is>
          <t>ECO-07</t>
        </is>
      </c>
      <c r="D91" s="17" t="inlineStr">
        <is>
          <t>professional_service</t>
        </is>
      </c>
      <c r="E91" s="17" t="inlineStr">
        <is>
          <t>direct_sales</t>
        </is>
      </c>
      <c r="F91" s="18" t="inlineStr">
        <is>
          <t>Fraqueza: a oferta de servico esta incompleta em quatro elementos criticos as vesperas do lancamento.</t>
        </is>
      </c>
      <c r="G91" s="18" t="inlineStr">
        <is>
          <t>DOC-C09-006 lista como pendentes: 'pagina institucional de servicos; pagina Estudio; formulario visual inicial; tres familias de servico; condicao de preco inicial; demonstracoes de casos proprios; chamada CH-006 funcionando'.</t>
        </is>
      </c>
      <c r="H91" s="17" t="inlineStr">
        <is>
          <t>DOC-C09-006;DOC-C12-006;DOC-C12-007</t>
        </is>
      </c>
      <c r="I91" s="17" t="inlineStr">
        <is>
          <t>strong</t>
        </is>
      </c>
      <c r="J91" s="17" t="inlineStr">
        <is>
          <t>0.9</t>
        </is>
      </c>
      <c r="K91" s="17" t="inlineStr">
        <is>
          <t>fact</t>
        </is>
      </c>
      <c r="L91" s="17" t="inlineStr">
        <is>
          <t>high</t>
        </is>
      </c>
      <c r="M91" s="17" t="inlineStr">
        <is>
          <t>high</t>
        </is>
      </c>
      <c r="N91" s="18" t="inlineStr">
        <is>
          <t>Ou fechar os sete itens ate 05/09 ou remover o Estudio do lancamento e mante-lo como lista de interesse.</t>
        </is>
      </c>
    </row>
    <row r="92">
      <c r="A92" s="17" t="inlineStr">
        <is>
          <t>SA-09C</t>
        </is>
      </c>
      <c r="B92" s="17" t="inlineStr">
        <is>
          <t>opportunity</t>
        </is>
      </c>
      <c r="C92" s="17" t="inlineStr">
        <is>
          <t>ECO-07</t>
        </is>
      </c>
      <c r="D92" s="17" t="inlineStr">
        <is>
          <t>professional_service</t>
        </is>
      </c>
      <c r="E92" s="17" t="inlineStr">
        <is>
          <t>direct_sales</t>
        </is>
      </c>
      <c r="F92" s="18" t="inlineStr">
        <is>
          <t>Oportunidade: o proprio EXECUTAR e o showroom do servico, eliminando o custo de portfolio inicial.</t>
        </is>
      </c>
      <c r="G92" s="18" t="inlineStr">
        <is>
          <t>DOC-C05-001: 'O app Executar, o Agente 007, skills e plugins funcionam como provas visuais e como principal showroom das capacidades oferecidas'.</t>
        </is>
      </c>
      <c r="H92" s="17" t="inlineStr">
        <is>
          <t>DOC-C05-001;DOC-C11-010</t>
        </is>
      </c>
      <c r="I92" s="17" t="inlineStr">
        <is>
          <t>strong</t>
        </is>
      </c>
      <c r="J92" s="17" t="inlineStr">
        <is>
          <t>0.85</t>
        </is>
      </c>
      <c r="K92" s="17" t="inlineStr">
        <is>
          <t>fact</t>
        </is>
      </c>
      <c r="L92" s="17" t="inlineStr">
        <is>
          <t>high</t>
        </is>
      </c>
      <c r="M92" s="17" t="inlineStr">
        <is>
          <t>medium</t>
        </is>
      </c>
      <c r="N92" s="18" t="inlineStr">
        <is>
          <t>Gravar as demonstracoes 01-04 uma unica vez e reutiliza-las como material comercial permanente do Estudio.</t>
        </is>
      </c>
    </row>
    <row r="93">
      <c r="A93" s="17" t="inlineStr">
        <is>
          <t>SA-10A</t>
        </is>
      </c>
      <c r="B93" s="17" t="inlineStr">
        <is>
          <t>market_attractiveness</t>
        </is>
      </c>
      <c r="C93" s="17" t="inlineStr">
        <is>
          <t>ECO-01</t>
        </is>
      </c>
      <c r="D93" s="17" t="inlineStr">
        <is>
          <t>software</t>
        </is>
      </c>
      <c r="E93" s="17" t="n"/>
      <c r="F93" s="18" t="inlineStr">
        <is>
          <t>Nao ha base para pontuar atratividade de mercado do app: nenhum dos insumos de tamanho, crescimento ou rentabilidade esta verificado.</t>
        </is>
      </c>
      <c r="G93" s="18" t="inlineStr">
        <is>
          <t>TAM/SAM/SOM sem metodologia (QT-0131/132/133), CAGR sem fonte resolvida (QT-0138/139), LTV e CAC apenas modelados, e 'Strict VERIFIED 0'.</t>
        </is>
      </c>
      <c r="H93" s="17" t="inlineStr">
        <is>
          <t>DOC-C07-007;DOC-C07-009</t>
        </is>
      </c>
      <c r="I93" s="17" t="inlineStr">
        <is>
          <t>none</t>
        </is>
      </c>
      <c r="J93" s="17" t="inlineStr">
        <is>
          <t>0.85</t>
        </is>
      </c>
      <c r="K93" s="17" t="inlineStr">
        <is>
          <t>gap</t>
        </is>
      </c>
      <c r="L93" s="17" t="inlineStr">
        <is>
          <t>high</t>
        </is>
      </c>
      <c r="M93" s="17" t="inlineStr">
        <is>
          <t>medium</t>
        </is>
      </c>
      <c r="N93" s="18" t="inlineStr">
        <is>
          <t>Adiar qualquer scoring formal de atratividade; a decisao de continuar deve se apoiar em PMF-01, nao em tamanho de mercado.</t>
        </is>
      </c>
    </row>
    <row r="94">
      <c r="A94" s="17" t="inlineStr">
        <is>
          <t>SA-10A</t>
        </is>
      </c>
      <c r="B94" s="17" t="inlineStr">
        <is>
          <t>market_attractiveness</t>
        </is>
      </c>
      <c r="C94" s="17" t="inlineStr">
        <is>
          <t>ECO-03</t>
        </is>
      </c>
      <c r="D94" s="17" t="inlineStr">
        <is>
          <t>digital_product</t>
        </is>
      </c>
      <c r="E94" s="17" t="n"/>
      <c r="F94" s="18" t="inlineStr">
        <is>
          <t>A atratividade do territorio de framework e sustentada por evidencia de problema, nao por evidencia de mercado.</t>
        </is>
      </c>
      <c r="G94" s="18" t="inlineStr">
        <is>
          <t>DOC-C01-005: 'A evidencia disponivel sustenta claramente a existencia do problema social. O que ainda precisara ser demonstrado... e se organizar essas dificuldades atraves de um framework explicito... constitui uma abordagem util e empiricamente defensavel.'</t>
        </is>
      </c>
      <c r="H94" s="17" t="inlineStr">
        <is>
          <t>DOC-C01-005;DOC-C02-031</t>
        </is>
      </c>
      <c r="I94" s="17" t="inlineStr">
        <is>
          <t>strong</t>
        </is>
      </c>
      <c r="J94" s="17" t="inlineStr">
        <is>
          <t>0.85</t>
        </is>
      </c>
      <c r="K94" s="17" t="inlineStr">
        <is>
          <t>fact</t>
        </is>
      </c>
      <c r="L94" s="17" t="inlineStr">
        <is>
          <t>high</t>
        </is>
      </c>
      <c r="M94" s="17" t="inlineStr">
        <is>
          <t>medium</t>
        </is>
      </c>
      <c r="N94" s="18" t="inlineStr">
        <is>
          <t>Separar as duas perguntas nos relatorios internos: existencia do problema (respondida) e utilidade do framework (aberta).</t>
        </is>
      </c>
    </row>
    <row r="95">
      <c r="A95" s="17" t="inlineStr">
        <is>
          <t>SA-10B</t>
        </is>
      </c>
      <c r="B95" s="17" t="inlineStr">
        <is>
          <t>ability_to_win</t>
        </is>
      </c>
      <c r="C95" s="17" t="inlineStr">
        <is>
          <t>ECO-01</t>
        </is>
      </c>
      <c r="D95" s="17" t="inlineStr">
        <is>
          <t>software</t>
        </is>
      </c>
      <c r="E95" s="17" t="inlineStr">
        <is>
          <t>app</t>
        </is>
      </c>
      <c r="F95" s="18" t="inlineStr">
        <is>
          <t>A capacidade de vencer se apoia em ativos verificaveis: produto operante, base de evidencia governada e matriz de decisao de design.</t>
        </is>
      </c>
      <c r="G95" s="18" t="inlineStr">
        <is>
          <t>DOC-C04-002 (CI verde, 398 testes), DOC-C07-009 (22 decisoes, invariantes epistemicos), DOC-C07-003 (11 linhas GP com compensacao sistemica e decisao de produto).</t>
        </is>
      </c>
      <c r="H95" s="17" t="inlineStr">
        <is>
          <t>DOC-C04-002;DOC-C07-009;DOC-C07-003</t>
        </is>
      </c>
      <c r="I95" s="17" t="inlineStr">
        <is>
          <t>strong</t>
        </is>
      </c>
      <c r="J95" s="17" t="inlineStr">
        <is>
          <t>0.8</t>
        </is>
      </c>
      <c r="K95" s="17" t="inlineStr">
        <is>
          <t>inference</t>
        </is>
      </c>
      <c r="L95" s="17" t="inlineStr">
        <is>
          <t>high</t>
        </is>
      </c>
      <c r="M95" s="17" t="inlineStr">
        <is>
          <t>medium</t>
        </is>
      </c>
      <c r="N95" s="18" t="inlineStr">
        <is>
          <t>Comunicar a cadeia evidencia -&gt; decisao -&gt; feature como diferencial verificavel; e o que nenhum concorrente de infoproduto pode replicar rapido.</t>
        </is>
      </c>
    </row>
    <row r="96">
      <c r="A96" s="17" t="inlineStr">
        <is>
          <t>SA-10B</t>
        </is>
      </c>
      <c r="B96" s="17" t="inlineStr">
        <is>
          <t>ability_to_win</t>
        </is>
      </c>
      <c r="C96" s="17" t="inlineStr">
        <is>
          <t>ECO-07</t>
        </is>
      </c>
      <c r="D96" s="17" t="inlineStr">
        <is>
          <t>professional_service</t>
        </is>
      </c>
      <c r="E96" s="17" t="inlineStr">
        <is>
          <t>direct_sales</t>
        </is>
      </c>
      <c r="F96" s="18" t="inlineStr">
        <is>
          <t>A capacidade de vencer no servico e limitada por capacidade humana, nao por demanda ou diferenciacao.</t>
        </is>
      </c>
      <c r="G96" s="18" t="inlineStr">
        <is>
          <t>Um cliente por semana (DOC-C05-001), tres familias de servico ainda nao especificadas (DOC-C09-006) e nenhuma padronizacao de entrega documentada.</t>
        </is>
      </c>
      <c r="H96" s="17" t="inlineStr">
        <is>
          <t>DOC-C05-001;DOC-C09-006</t>
        </is>
      </c>
      <c r="I96" s="17" t="inlineStr">
        <is>
          <t>moderate</t>
        </is>
      </c>
      <c r="J96" s="17" t="inlineStr">
        <is>
          <t>0.75</t>
        </is>
      </c>
      <c r="K96" s="17" t="inlineStr">
        <is>
          <t>inference</t>
        </is>
      </c>
      <c r="L96" s="17" t="inlineStr">
        <is>
          <t>high</t>
        </is>
      </c>
      <c r="M96" s="17" t="inlineStr">
        <is>
          <t>medium</t>
        </is>
      </c>
      <c r="N96" s="18" t="inlineStr">
        <is>
          <t>Tratar o Estudio como gerador de casos e insumo editorial na fase 1; escalar so depois de 5 entregas com escopo repetido.</t>
        </is>
      </c>
    </row>
    <row r="97">
      <c r="A97" s="17" t="inlineStr">
        <is>
          <t>SA-10B</t>
        </is>
      </c>
      <c r="B97" s="17" t="inlineStr">
        <is>
          <t>ability_to_win</t>
        </is>
      </c>
      <c r="C97" s="17" t="inlineStr">
        <is>
          <t>ECO-02</t>
        </is>
      </c>
      <c r="D97" s="17" t="inlineStr">
        <is>
          <t>content_community</t>
        </is>
      </c>
      <c r="E97" s="17" t="inlineStr">
        <is>
          <t>owned_web</t>
        </is>
      </c>
      <c r="F97" s="18" t="inlineStr">
        <is>
          <t>A capacidade de vencer no editorial depende de um ativo que ainda nao existe: o site publicado.</t>
        </is>
      </c>
      <c r="G97" s="18" t="inlineStr">
        <is>
          <t>DOC-C02-039 registra status 'fundacao editorial definida; validacao e publicacao pendentes' e AGORA = 'Confirmar dominio e reservar @riscocognitivo'; DOC-C02-043 lista 11 proximos passos comecando por dominio e repositorio.</t>
        </is>
      </c>
      <c r="H97" s="17" t="inlineStr">
        <is>
          <t>DOC-C02-039;DOC-C02-043</t>
        </is>
      </c>
      <c r="I97" s="17" t="inlineStr">
        <is>
          <t>strong</t>
        </is>
      </c>
      <c r="J97" s="17" t="inlineStr">
        <is>
          <t>0.9</t>
        </is>
      </c>
      <c r="K97" s="17" t="inlineStr">
        <is>
          <t>fact</t>
        </is>
      </c>
      <c r="L97" s="17" t="inlineStr">
        <is>
          <t>high</t>
        </is>
      </c>
      <c r="M97" s="17" t="inlineStr">
        <is>
          <t>high</t>
        </is>
      </c>
      <c r="N97" s="18" t="inlineStr">
        <is>
          <t>Dominio, repositorio e CMS no ar sao pre-requisitos duros; qualquer plano editorial anterior a isso e planejamento sem canal.</t>
        </is>
      </c>
    </row>
    <row r="98">
      <c r="A98" s="17" t="inlineStr">
        <is>
          <t>SA-11A</t>
        </is>
      </c>
      <c r="B98" s="17" t="inlineStr">
        <is>
          <t>where_to_play</t>
        </is>
      </c>
      <c r="C98" s="17" t="inlineStr">
        <is>
          <t>ECO-02</t>
        </is>
      </c>
      <c r="D98" s="17" t="inlineStr">
        <is>
          <t>content_community</t>
        </is>
      </c>
      <c r="E98" s="17" t="inlineStr">
        <is>
          <t>owned_web</t>
        </is>
      </c>
      <c r="F98" s="18" t="inlineStr">
        <is>
          <t>A escolha declarada e ocupar um territorio editorial proprio, e nao a categoria blog de TDAH.</t>
        </is>
      </c>
      <c r="G98" s="18" t="inlineStr">
        <is>
          <t>DOC-C02-043: 'Risco Cognitivo deixa de ser apenas um blog sobre TDAH e passa a ser um territorio editorial sobre funcoes executivas, neurodivergencia, trabalho, projetos, risco e execucao'; DOC-C01-005 reforca 'TDAH pode ser seu primeiro laboratorio'.</t>
        </is>
      </c>
      <c r="H98" s="17" t="inlineStr">
        <is>
          <t>DOC-C02-043;DOC-C01-005</t>
        </is>
      </c>
      <c r="I98" s="17" t="inlineStr">
        <is>
          <t>strong</t>
        </is>
      </c>
      <c r="J98" s="17" t="inlineStr">
        <is>
          <t>0.9</t>
        </is>
      </c>
      <c r="K98" s="17" t="inlineStr">
        <is>
          <t>fact</t>
        </is>
      </c>
      <c r="L98" s="17" t="inlineStr">
        <is>
          <t>high</t>
        </is>
      </c>
      <c r="M98" s="17" t="inlineStr">
        <is>
          <t>high</t>
        </is>
      </c>
      <c r="N98" s="18" t="inlineStr">
        <is>
          <t>Aplicar o teste em cada pauta: se ela so faz sentido para quem tem TDAH, ela pertence a Biblioteca EXECUTAR, nao ao Risco Cognitivo.</t>
        </is>
      </c>
    </row>
    <row r="99">
      <c r="A99" s="17" t="inlineStr">
        <is>
          <t>SA-11A</t>
        </is>
      </c>
      <c r="B99" s="17" t="inlineStr">
        <is>
          <t>where_to_play_conflict</t>
        </is>
      </c>
      <c r="C99" s="17" t="inlineStr">
        <is>
          <t>ECO-02</t>
        </is>
      </c>
      <c r="D99" s="17" t="inlineStr">
        <is>
          <t>content_community</t>
        </is>
      </c>
      <c r="E99" s="17" t="inlineStr">
        <is>
          <t>owned_web</t>
        </is>
      </c>
      <c r="F99" s="18" t="inlineStr">
        <is>
          <t>Ha duas arquiteturas editoriais concorrentes no acervo, com categorias diferentes.</t>
        </is>
      </c>
      <c r="G99" s="18" t="inlineStr">
        <is>
          <t>Versao A (DOC-C02-043/DOC-C01-005): territorio 'Risco Cognitivo', mais amplo que TDAH. Versao B (DOC-C10-003): 'Arquitetura editorial unica - Categoria: TDAH adulto aplicado ao trabalho, a gestao e a execucao', com tres pilares e 4E.</t>
        </is>
      </c>
      <c r="H99" s="17" t="inlineStr">
        <is>
          <t>DOC-C02-043;DOC-C01-005;DOC-C10-003;DOC-C05-001</t>
        </is>
      </c>
      <c r="I99" s="17" t="inlineStr">
        <is>
          <t>strong</t>
        </is>
      </c>
      <c r="J99" s="17" t="inlineStr">
        <is>
          <t>0.85</t>
        </is>
      </c>
      <c r="K99" s="17" t="inlineStr">
        <is>
          <t>conflict</t>
        </is>
      </c>
      <c r="L99" s="17" t="inlineStr">
        <is>
          <t>high</t>
        </is>
      </c>
      <c r="M99" s="17" t="inlineStr">
        <is>
          <t>high</t>
        </is>
      </c>
      <c r="N99" s="18" t="inlineStr">
        <is>
          <t>Decidir se sao duas publicacoes (Risco Cognitivo e Biblioteca EXECUTAR) ou uma; hoje o lancamento de 07/09 usa a Versao B e o pacote Risco Cognitivo usa a Versao A.</t>
        </is>
      </c>
    </row>
    <row r="100">
      <c r="A100" s="17" t="inlineStr">
        <is>
          <t>SA-11A</t>
        </is>
      </c>
      <c r="B100" s="17" t="inlineStr">
        <is>
          <t>where_to_play</t>
        </is>
      </c>
      <c r="C100" s="17" t="inlineStr">
        <is>
          <t>ECO-01</t>
        </is>
      </c>
      <c r="D100" s="17" t="inlineStr">
        <is>
          <t>software</t>
        </is>
      </c>
      <c r="E100" s="17" t="inlineStr">
        <is>
          <t>app</t>
        </is>
      </c>
      <c r="F100" s="18" t="inlineStr">
        <is>
          <t>A escolha de terreno do produto e execucao multiprojeto, explicitamente fora do terreno clinico.</t>
        </is>
      </c>
      <c r="G100" s="18" t="inlineStr">
        <is>
          <t>POSITION-01: 'Posicionar o EXECUTAR como sistema de execucao para rotinas multiprojeto, nao como tratamento de TDAH'; nota: 'Neurocompativel por design pode ser explorado como linguagem de design, mas nao como claim clinico'.</t>
        </is>
      </c>
      <c r="H100" s="17" t="inlineStr">
        <is>
          <t>DOC-C07-009</t>
        </is>
      </c>
      <c r="I100" s="17" t="inlineStr">
        <is>
          <t>strong</t>
        </is>
      </c>
      <c r="J100" s="17" t="inlineStr">
        <is>
          <t>0.9</t>
        </is>
      </c>
      <c r="K100" s="17" t="inlineStr">
        <is>
          <t>fact</t>
        </is>
      </c>
      <c r="L100" s="17" t="inlineStr">
        <is>
          <t>high</t>
        </is>
      </c>
      <c r="M100" s="17" t="inlineStr">
        <is>
          <t>high</t>
        </is>
      </c>
      <c r="N100" s="18" t="inlineStr">
        <is>
          <t>Definir publicamente o que 'neurocompativel por design' significa em termos de design, senao o termo sera lido como claim clinico.</t>
        </is>
      </c>
    </row>
    <row r="101">
      <c r="A101" s="17" t="inlineStr">
        <is>
          <t>SA-11A</t>
        </is>
      </c>
      <c r="B101" s="17" t="inlineStr">
        <is>
          <t>where_to_play</t>
        </is>
      </c>
      <c r="C101" s="17" t="inlineStr">
        <is>
          <t>ECO-03</t>
        </is>
      </c>
      <c r="D101" s="17" t="inlineStr">
        <is>
          <t>digital_product</t>
        </is>
      </c>
      <c r="E101" s="17" t="n"/>
      <c r="F101" s="18" t="inlineStr">
        <is>
          <t>O terreno do framework e a integracao especifica, nao o termo generico.</t>
        </is>
      </c>
      <c r="G101" s="18" t="inlineStr">
        <is>
          <t>RC-030: 'Nao reivindicar criacao do termo - a contribuicao defensavel e a sintese/aplicacao especifica'; DOC-C02-016 (GUARDRAIL): 'a contribuicao defensavel e a integracao especifica com funcoes executivas, neurodivergencia e execucao de projetos'.</t>
        </is>
      </c>
      <c r="H101" s="17" t="inlineStr">
        <is>
          <t>DOC-C02-016;DOC-C02-042;DOC-C02-030</t>
        </is>
      </c>
      <c r="I101" s="17" t="inlineStr">
        <is>
          <t>strong</t>
        </is>
      </c>
      <c r="J101" s="17" t="inlineStr">
        <is>
          <t>0.9</t>
        </is>
      </c>
      <c r="K101" s="17" t="inlineStr">
        <is>
          <t>fact</t>
        </is>
      </c>
      <c r="L101" s="17" t="inlineStr">
        <is>
          <t>high</t>
        </is>
      </c>
      <c r="M101" s="17" t="inlineStr">
        <is>
          <t>medium</t>
        </is>
      </c>
      <c r="N101" s="18" t="inlineStr">
        <is>
          <t>Escrever a frase de contribuicao em uma unica sentenca canonica e reutiliza-la sem variacao em todos os materiais.</t>
        </is>
      </c>
    </row>
    <row r="102">
      <c r="A102" s="17" t="inlineStr">
        <is>
          <t>SA-11A</t>
        </is>
      </c>
      <c r="B102" s="17" t="inlineStr">
        <is>
          <t>where_to_play</t>
        </is>
      </c>
      <c r="C102" s="17" t="inlineStr">
        <is>
          <t>ECO-07</t>
        </is>
      </c>
      <c r="D102" s="17" t="inlineStr">
        <is>
          <t>professional_service</t>
        </is>
      </c>
      <c r="E102" s="17" t="inlineStr">
        <is>
          <t>direct_sales</t>
        </is>
      </c>
      <c r="F102" s="18" t="inlineStr">
        <is>
          <t>O terreno do servico e desenvolvimento de solucoes neuroadaptadas demonstradas por casos proprios.</t>
        </is>
      </c>
      <c r="G102" s="18" t="inlineStr">
        <is>
          <t>DOC-C05-001: 'Desenvolvimento de solucoes neuroadaptadas: automacoes, workflows, apps, rotinas, MCPs e agentes, sempre demonstrados por casos proprios como o Executar'.</t>
        </is>
      </c>
      <c r="H102" s="17" t="inlineStr">
        <is>
          <t>DOC-C05-001;DOC-C09-006</t>
        </is>
      </c>
      <c r="I102" s="17" t="inlineStr">
        <is>
          <t>strong</t>
        </is>
      </c>
      <c r="J102" s="17" t="inlineStr">
        <is>
          <t>0.85</t>
        </is>
      </c>
      <c r="K102" s="17" t="inlineStr">
        <is>
          <t>fact</t>
        </is>
      </c>
      <c r="L102" s="17" t="inlineStr">
        <is>
          <t>medium</t>
        </is>
      </c>
      <c r="M102" s="17" t="inlineStr">
        <is>
          <t>medium</t>
        </is>
      </c>
      <c r="N102" s="18" t="inlineStr">
        <is>
          <t>Traduzir 'MCPs e agentes' para linguagem de resultado do cliente na pagina publica; o termo tecnico exclui o comprador descrito no formulario.</t>
        </is>
      </c>
    </row>
    <row r="103">
      <c r="A103" s="17" t="inlineStr">
        <is>
          <t>SA-11B</t>
        </is>
      </c>
      <c r="B103" s="17" t="inlineStr">
        <is>
          <t>how_to_win</t>
        </is>
      </c>
      <c r="C103" s="17" t="inlineStr">
        <is>
          <t>ECO-02</t>
        </is>
      </c>
      <c r="D103" s="17" t="inlineStr">
        <is>
          <t>content_community</t>
        </is>
      </c>
      <c r="E103" s="17" t="inlineStr">
        <is>
          <t>owned_web</t>
        </is>
      </c>
      <c r="F103" s="18" t="inlineStr">
        <is>
          <t>A logica de vitoria editorial e sequencial: instalar a categoria antes de apresentar o produto.</t>
        </is>
      </c>
      <c r="G103" s="18" t="inlineStr">
        <is>
          <t>DOC-C02-042: 'construir primeiro a categoria intelectual Risco Cognitivo, depois validar o framework e somente entao apresentar o EXECUTAR como implementacao'; DOC-C02-043: 'O artigo nao termina vendendo EXECUTAR'.</t>
        </is>
      </c>
      <c r="H103" s="17" t="inlineStr">
        <is>
          <t>DOC-C02-042;DOC-C02-043;DOC-C02-014</t>
        </is>
      </c>
      <c r="I103" s="17" t="inlineStr">
        <is>
          <t>strong</t>
        </is>
      </c>
      <c r="J103" s="17" t="inlineStr">
        <is>
          <t>0.9</t>
        </is>
      </c>
      <c r="K103" s="17" t="inlineStr">
        <is>
          <t>fact</t>
        </is>
      </c>
      <c r="L103" s="17" t="inlineStr">
        <is>
          <t>high</t>
        </is>
      </c>
      <c r="M103" s="17" t="inlineStr">
        <is>
          <t>high</t>
        </is>
      </c>
      <c r="N103" s="18" t="inlineStr">
        <is>
          <t>Se essa sequencia for mantida, os CTAs comerciais (CTA-001/004/005/006) nao podem aparecer nas pecas do Risco Cognitivo.</t>
        </is>
      </c>
    </row>
    <row r="104">
      <c r="A104" s="17" t="inlineStr">
        <is>
          <t>SA-11B</t>
        </is>
      </c>
      <c r="B104" s="17" t="inlineStr">
        <is>
          <t>how_to_win_conflict</t>
        </is>
      </c>
      <c r="C104" s="17" t="inlineStr">
        <is>
          <t>ECO-01</t>
        </is>
      </c>
      <c r="D104" s="17" t="inlineStr">
        <is>
          <t>software</t>
        </is>
      </c>
      <c r="E104" s="17" t="inlineStr">
        <is>
          <t>owned_web</t>
        </is>
      </c>
      <c r="F104" s="18" t="inlineStr">
        <is>
          <t>Ha conflito direto entre a sequencia editorial (produto por ultimo) e o GTM de 07/09 (produto e ofertas no dia um).</t>
        </is>
      </c>
      <c r="G104" s="18" t="inlineStr">
        <is>
          <t>DOC-C02-042/043: 'CTA inicial: ler, explorar, assinar e baixar... o EXECUTAR fica para uma campanha posterior'. DOC-C06-001/DOC-C08-011: lancamento em 07/09 com CTA-001 App, CTA-004 E-book, CTA-005 Curso, CTA-006 Studio, CTA-009 Office Kit e commerce em Hotmart configurado em D3.</t>
        </is>
      </c>
      <c r="H104" s="17" t="inlineStr">
        <is>
          <t>DOC-C02-042;DOC-C02-043;DOC-C06-001;DOC-C08-011</t>
        </is>
      </c>
      <c r="I104" s="17" t="inlineStr">
        <is>
          <t>strong</t>
        </is>
      </c>
      <c r="J104" s="17" t="inlineStr">
        <is>
          <t>0.9</t>
        </is>
      </c>
      <c r="K104" s="17" t="inlineStr">
        <is>
          <t>conflict</t>
        </is>
      </c>
      <c r="L104" s="17" t="inlineStr">
        <is>
          <t>high</t>
        </is>
      </c>
      <c r="M104" s="17" t="inlineStr">
        <is>
          <t>high</t>
        </is>
      </c>
      <c r="N104" s="18" t="inlineStr">
        <is>
          <t>Resolver explicitamente: ou sao dois lancamentos com marcas separadas (Risco Cognitivo editorial e EXECUTAR comercial), ou a sequencia de categoria foi abandonada e isso precisa ser registrado como decisao.</t>
        </is>
      </c>
    </row>
    <row r="105">
      <c r="A105" s="17" t="inlineStr">
        <is>
          <t>SA-11B</t>
        </is>
      </c>
      <c r="B105" s="17" t="inlineStr">
        <is>
          <t>how_to_win</t>
        </is>
      </c>
      <c r="C105" s="17" t="inlineStr">
        <is>
          <t>ECO-01</t>
        </is>
      </c>
      <c r="D105" s="17" t="inlineStr">
        <is>
          <t>software</t>
        </is>
      </c>
      <c r="E105" s="17" t="inlineStr">
        <is>
          <t>app</t>
        </is>
      </c>
      <c r="F105" s="18" t="inlineStr">
        <is>
          <t>A promessa competitiva do produto e reduzir o trabalho de operar a ferramenta, nao adicionar recursos.</t>
        </is>
      </c>
      <c r="G105" s="18" t="inlineStr">
        <is>
          <t>DOC-C09-004: 'O aplicativo de produtividade feito para voce usar menos. O sistema sustenta a estrutura; o usuario executa'; DOC-C05-001 item 04: 'Zero configuracao, minima personalizacao, externalizacao cognitiva e reducao do tempo gasto administrando a ferramenta'.</t>
        </is>
      </c>
      <c r="H105" s="17" t="inlineStr">
        <is>
          <t>DOC-C09-004;DOC-C05-001</t>
        </is>
      </c>
      <c r="I105" s="17" t="inlineStr">
        <is>
          <t>strong</t>
        </is>
      </c>
      <c r="J105" s="17" t="inlineStr">
        <is>
          <t>0.9</t>
        </is>
      </c>
      <c r="K105" s="17" t="inlineStr">
        <is>
          <t>fact</t>
        </is>
      </c>
      <c r="L105" s="17" t="inlineStr">
        <is>
          <t>high</t>
        </is>
      </c>
      <c r="M105" s="17" t="inlineStr">
        <is>
          <t>high</t>
        </is>
      </c>
      <c r="N105" s="18" t="inlineStr">
        <is>
          <t>Medir a promessa: tempo de setup ate o primeiro VALUE_EVENT-01 e a metrica que prova ou desmente 'zero configuracao'.</t>
        </is>
      </c>
    </row>
    <row r="106">
      <c r="A106" s="17" t="inlineStr">
        <is>
          <t>SA-11B</t>
        </is>
      </c>
      <c r="B106" s="17" t="inlineStr">
        <is>
          <t>how_to_win</t>
        </is>
      </c>
      <c r="C106" s="17" t="inlineStr">
        <is>
          <t>ECO-03</t>
        </is>
      </c>
      <c r="D106" s="17" t="inlineStr">
        <is>
          <t>digital_product</t>
        </is>
      </c>
      <c r="E106" s="17" t="n"/>
      <c r="F106" s="18" t="inlineStr">
        <is>
          <t>A logica de vitoria do framework e validacao em estagios, com cada etapa condicionada a anterior.</t>
        </is>
      </c>
      <c r="G106" s="18" t="inlineStr">
        <is>
          <t>DOC-C02-042: 'Risco Cognitivo = territorio/publicacao -&gt; CERM = framework investigavel -&gt; Mapa/Register = ferramenta aplicada -&gt; EXECUTAR = implementacao -&gt; dados/casos = evidencia -&gt; white paper/livro/curso = expansao, mantendo cada estagio condicionado a validacao do anterior'.</t>
        </is>
      </c>
      <c r="H106" s="17" t="inlineStr">
        <is>
          <t>DOC-C02-042;DOC-C02-031;DOC-C02-015</t>
        </is>
      </c>
      <c r="I106" s="17" t="inlineStr">
        <is>
          <t>strong</t>
        </is>
      </c>
      <c r="J106" s="17" t="inlineStr">
        <is>
          <t>0.9</t>
        </is>
      </c>
      <c r="K106" s="17" t="inlineStr">
        <is>
          <t>fact</t>
        </is>
      </c>
      <c r="L106" s="17" t="inlineStr">
        <is>
          <t>high</t>
        </is>
      </c>
      <c r="M106" s="17" t="inlineStr">
        <is>
          <t>medium</t>
        </is>
      </c>
      <c r="N106" s="18" t="inlineStr">
        <is>
          <t>Publicar a escada de maturidade como compromisso publico; ela protege contra a critica de que o framework e marketing de produto.</t>
        </is>
      </c>
    </row>
    <row r="107">
      <c r="A107" s="17" t="inlineStr">
        <is>
          <t>SA-11B</t>
        </is>
      </c>
      <c r="B107" s="17" t="inlineStr">
        <is>
          <t>how_to_win</t>
        </is>
      </c>
      <c r="C107" s="17" t="inlineStr">
        <is>
          <t>ECO-07</t>
        </is>
      </c>
      <c r="D107" s="17" t="inlineStr">
        <is>
          <t>professional_service</t>
        </is>
      </c>
      <c r="E107" s="17" t="inlineStr">
        <is>
          <t>direct_sales</t>
        </is>
      </c>
      <c r="F107" s="18" t="inlineStr">
        <is>
          <t>A logica de vitoria do servico e transformacao visivel: o cliente decide por evidencia, nao por termo tecnico.</t>
        </is>
      </c>
      <c r="G107" s="18" t="inlineStr">
        <is>
          <t>DOC-C11-010: 'Cliente entra, ve o problema compreendido e testa um prototipo... escolhe: aprovar, mudar ou perguntar... O cliente acompanha a construcao pela transformacao visivel, nao por termos tecnicos'.</t>
        </is>
      </c>
      <c r="H107" s="17" t="inlineStr">
        <is>
          <t>DOC-C11-010;DOC-C09-006</t>
        </is>
      </c>
      <c r="I107" s="17" t="inlineStr">
        <is>
          <t>strong</t>
        </is>
      </c>
      <c r="J107" s="17" t="inlineStr">
        <is>
          <t>0.85</t>
        </is>
      </c>
      <c r="K107" s="17" t="inlineStr">
        <is>
          <t>fact</t>
        </is>
      </c>
      <c r="L107" s="17" t="inlineStr">
        <is>
          <t>high</t>
        </is>
      </c>
      <c r="M107" s="17" t="inlineStr">
        <is>
          <t>medium</t>
        </is>
      </c>
      <c r="N107" s="18" t="inlineStr">
        <is>
          <t>Fazer do prototipo no dia 2 ou 3 um compromisso contratual; e o que diferencia a oferta de uma consultoria comum.</t>
        </is>
      </c>
    </row>
    <row r="108">
      <c r="A108" s="17" t="inlineStr">
        <is>
          <t>SA-12</t>
        </is>
      </c>
      <c r="B108" s="17" t="inlineStr">
        <is>
          <t>requirements</t>
        </is>
      </c>
      <c r="C108" s="17" t="inlineStr">
        <is>
          <t>ECO-01</t>
        </is>
      </c>
      <c r="D108" s="17" t="inlineStr">
        <is>
          <t>software</t>
        </is>
      </c>
      <c r="E108" s="17" t="inlineStr">
        <is>
          <t>app</t>
        </is>
      </c>
      <c r="F108" s="18" t="inlineStr">
        <is>
          <t>Existem 15 decisoes de produto e seguranca derivadas de perguntas do framework de 694 itens.</t>
        </is>
      </c>
      <c r="G108" s="18" t="inlineStr">
        <is>
          <t>DOC-C07-009, all_decisions PROD-01 a PROD-15, cada uma com framework_question_id (FRM-0102 a FRM-0585), dominio e status 'DECISION_DERIVED_FROM_CANDIDATE_EVIDENCE'.</t>
        </is>
      </c>
      <c r="H108" s="17" t="inlineStr">
        <is>
          <t>DOC-C07-009</t>
        </is>
      </c>
      <c r="I108" s="17" t="inlineStr">
        <is>
          <t>strong</t>
        </is>
      </c>
      <c r="J108" s="17" t="inlineStr">
        <is>
          <t>0.9</t>
        </is>
      </c>
      <c r="K108" s="17" t="inlineStr">
        <is>
          <t>fact</t>
        </is>
      </c>
      <c r="L108" s="17" t="inlineStr">
        <is>
          <t>high</t>
        </is>
      </c>
      <c r="M108" s="17" t="inlineStr">
        <is>
          <t>medium</t>
        </is>
      </c>
      <c r="N108" s="18" t="inlineStr">
        <is>
          <t>Converter PROD-01..15 diretamente em requisitos com criterio de aceite; a rastreabilidade ate a pergunta ja existe.</t>
        </is>
      </c>
    </row>
    <row r="109">
      <c r="A109" s="17" t="inlineStr">
        <is>
          <t>SA-12</t>
        </is>
      </c>
      <c r="B109" s="17" t="inlineStr">
        <is>
          <t>requirement</t>
        </is>
      </c>
      <c r="C109" s="17" t="inlineStr">
        <is>
          <t>ECO-01</t>
        </is>
      </c>
      <c r="D109" s="17" t="inlineStr">
        <is>
          <t>software</t>
        </is>
      </c>
      <c r="E109" s="17" t="inlineStr">
        <is>
          <t>app</t>
        </is>
      </c>
      <c r="F109" s="18" t="inlineStr">
        <is>
          <t>Requisito nuclear: a interface deve expor uma unica proxima acao principal e esconder complexidade secundaria.</t>
        </is>
      </c>
      <c r="G109" s="18" t="inlineStr">
        <is>
          <t>PROD-09 (FRM-0461): 'A interface deve tornar explicita uma unica proxima acao principal e esconder complexidade secundaria ate ser necessaria', confianca MEDIA-ALTA; PROD-12: 'Nos primeiros segundos, mostrar estado atual, resultado necessario e proxima acao - nao o projeto inteiro'.</t>
        </is>
      </c>
      <c r="H109" s="17" t="inlineStr">
        <is>
          <t>DOC-C07-009;DOC-C07-003</t>
        </is>
      </c>
      <c r="I109" s="17" t="inlineStr">
        <is>
          <t>strong</t>
        </is>
      </c>
      <c r="J109" s="17" t="inlineStr">
        <is>
          <t>0.85</t>
        </is>
      </c>
      <c r="K109" s="17" t="inlineStr">
        <is>
          <t>fact</t>
        </is>
      </c>
      <c r="L109" s="17" t="inlineStr">
        <is>
          <t>high</t>
        </is>
      </c>
      <c r="M109" s="17" t="inlineStr">
        <is>
          <t>high</t>
        </is>
      </c>
      <c r="N109" s="18" t="inlineStr">
        <is>
          <t>Usar como criterio de aceite da tela inicial; violacoes desse requisito sao regressao, nao preferencia de design.</t>
        </is>
      </c>
    </row>
    <row r="110">
      <c r="A110" s="17" t="inlineStr">
        <is>
          <t>SA-12</t>
        </is>
      </c>
      <c r="B110" s="17" t="inlineStr">
        <is>
          <t>requirement</t>
        </is>
      </c>
      <c r="C110" s="17" t="inlineStr">
        <is>
          <t>ECO-01</t>
        </is>
      </c>
      <c r="D110" s="17" t="inlineStr">
        <is>
          <t>software</t>
        </is>
      </c>
      <c r="E110" s="17" t="inlineStr">
        <is>
          <t>app</t>
        </is>
      </c>
      <c r="F110" s="18" t="inlineStr">
        <is>
          <t>Requisito de estado: o contexto e a posicao de execucao devem ser persistidos para que a retomada nao dependa de reconstrucao mental.</t>
        </is>
      </c>
      <c r="G110" s="18" t="inlineStr">
        <is>
          <t>PROD-13 (FRM-0567): 'Persistir contexto e posicao de execucao para que retomadas nao dependam de reconstrucao mental do projeto'; GP-07 na matriz: 'O sistema deve ser memoria externa do estado operacional'.</t>
        </is>
      </c>
      <c r="H110" s="17" t="inlineStr">
        <is>
          <t>DOC-C07-009;DOC-C07-003</t>
        </is>
      </c>
      <c r="I110" s="17" t="inlineStr">
        <is>
          <t>strong</t>
        </is>
      </c>
      <c r="J110" s="17" t="inlineStr">
        <is>
          <t>0.9</t>
        </is>
      </c>
      <c r="K110" s="17" t="inlineStr">
        <is>
          <t>fact</t>
        </is>
      </c>
      <c r="L110" s="17" t="inlineStr">
        <is>
          <t>high</t>
        </is>
      </c>
      <c r="M110" s="17" t="inlineStr">
        <is>
          <t>high</t>
        </is>
      </c>
      <c r="N110" s="18" t="inlineStr">
        <is>
          <t>Medir resume_latency como KPI de produto; e o endpoint que testa diretamente esse requisito.</t>
        </is>
      </c>
    </row>
    <row r="111">
      <c r="A111" s="17" t="inlineStr">
        <is>
          <t>SA-12</t>
        </is>
      </c>
      <c r="B111" s="17" t="inlineStr">
        <is>
          <t>requirement_prohibition</t>
        </is>
      </c>
      <c r="C111" s="17" t="inlineStr">
        <is>
          <t>ECO-01</t>
        </is>
      </c>
      <c r="D111" s="17" t="inlineStr">
        <is>
          <t>software</t>
        </is>
      </c>
      <c r="E111" s="17" t="inlineStr">
        <is>
          <t>app</t>
        </is>
      </c>
      <c r="F111" s="18" t="inlineStr">
        <is>
          <t>Requisito negativo: o produto deve bloquear usos como diagnostico, substituicao profissional ou inferencia clinica.</t>
        </is>
      </c>
      <c r="G111" s="18" t="inlineStr">
        <is>
          <t>PROD-14 (FRM-0584): 'Bloquear usos do produto como diagnostico, substituicao profissional ou inferencia clinica a partir de desempenho em tarefas'; PROD-08 proibe 'triagem diagnostica baseada em um unico teste, score ou tarefa do app'.</t>
        </is>
      </c>
      <c r="H111" s="17" t="inlineStr">
        <is>
          <t>DOC-C07-009</t>
        </is>
      </c>
      <c r="I111" s="17" t="inlineStr">
        <is>
          <t>strong</t>
        </is>
      </c>
      <c r="J111" s="17" t="inlineStr">
        <is>
          <t>0.9</t>
        </is>
      </c>
      <c r="K111" s="17" t="inlineStr">
        <is>
          <t>fact</t>
        </is>
      </c>
      <c r="L111" s="17" t="inlineStr">
        <is>
          <t>high</t>
        </is>
      </c>
      <c r="M111" s="17" t="inlineStr">
        <is>
          <t>high</t>
        </is>
      </c>
      <c r="N111" s="18" t="inlineStr">
        <is>
          <t>Implementar como regra de produto verificavel (nenhuma tela produz score interpretavel como triagem), nao apenas como aviso legal.</t>
        </is>
      </c>
    </row>
    <row r="112">
      <c r="A112" s="17" t="inlineStr">
        <is>
          <t>SA-12</t>
        </is>
      </c>
      <c r="B112" s="17" t="inlineStr">
        <is>
          <t>requirement_notifications</t>
        </is>
      </c>
      <c r="C112" s="17" t="inlineStr">
        <is>
          <t>ECO-01</t>
        </is>
      </c>
      <c r="D112" s="17" t="inlineStr">
        <is>
          <t>software</t>
        </is>
      </c>
      <c r="E112" s="17" t="inlineStr">
        <is>
          <t>app</t>
        </is>
      </c>
      <c r="F112" s="18" t="inlineStr">
        <is>
          <t>Requisito de interrupcao: notificar apenas por eventos criticos; informativas devem ser agrupadas ou adiadas.</t>
        </is>
      </c>
      <c r="G112" s="18" t="inlineStr">
        <is>
          <t>PROD-10 (FRM-0485): 'Interromper o usuario apenas por eventos criticos; notificacoes informativas devem ser agrupadas ou adiadas por padrao', confianca MEDIA-ALTA.</t>
        </is>
      </c>
      <c r="H112" s="17" t="inlineStr">
        <is>
          <t>DOC-C07-009;DOC-C07-007</t>
        </is>
      </c>
      <c r="I112" s="17" t="inlineStr">
        <is>
          <t>strong</t>
        </is>
      </c>
      <c r="J112" s="17" t="inlineStr">
        <is>
          <t>0.8</t>
        </is>
      </c>
      <c r="K112" s="17" t="inlineStr">
        <is>
          <t>fact</t>
        </is>
      </c>
      <c r="L112" s="17" t="inlineStr">
        <is>
          <t>medium</t>
        </is>
      </c>
      <c r="M112" s="17" t="inlineStr">
        <is>
          <t>medium</t>
        </is>
      </c>
      <c r="N112" s="18" t="inlineStr">
        <is>
          <t>Definir o default como agrupado; a evidencia de custo de troca de contexto (QT-000175) sustenta a escolha mesmo sendo fonte fraca.</t>
        </is>
      </c>
    </row>
    <row r="113">
      <c r="A113" s="17" t="inlineStr">
        <is>
          <t>SA-12</t>
        </is>
      </c>
      <c r="B113" s="17" t="inlineStr">
        <is>
          <t>mrd_artifact</t>
        </is>
      </c>
      <c r="C113" s="17" t="inlineStr">
        <is>
          <t>ECO-01</t>
        </is>
      </c>
      <c r="D113" s="17" t="inlineStr">
        <is>
          <t>software</t>
        </is>
      </c>
      <c r="E113" s="17" t="n"/>
      <c r="F113" s="18" t="inlineStr">
        <is>
          <t>Nao existe um MRD consolidado; os requisitos estao dispersos entre decisoes, matriz e visao de oferta.</t>
        </is>
      </c>
      <c r="G113" s="18" t="inlineStr">
        <is>
          <t>As fontes de requisito sao DOC-C07-009 (22 decisoes), DOC-C07-003 (11 decisoes de design da matriz) e DOC-C05-001 (features e pilares), sem documento unico que os reuna com prioridade e criterio de aceite.</t>
        </is>
      </c>
      <c r="H113" s="17" t="inlineStr">
        <is>
          <t>DOC-C07-009;DOC-C07-003;DOC-C05-001</t>
        </is>
      </c>
      <c r="I113" s="17" t="inlineStr">
        <is>
          <t>none</t>
        </is>
      </c>
      <c r="J113" s="17" t="inlineStr">
        <is>
          <t>0.8</t>
        </is>
      </c>
      <c r="K113" s="17" t="inlineStr">
        <is>
          <t>gap</t>
        </is>
      </c>
      <c r="L113" s="17" t="inlineStr">
        <is>
          <t>medium</t>
        </is>
      </c>
      <c r="M113" s="17" t="inlineStr">
        <is>
          <t>medium</t>
        </is>
      </c>
      <c r="N113" s="18" t="inlineStr">
        <is>
          <t>Montar um MRD de uma pagina consolidando as 22 decisoes + 11 decisoes de design; o conteudo ja existe, falta o artefato.</t>
        </is>
      </c>
    </row>
    <row r="114">
      <c r="A114" s="17" t="inlineStr">
        <is>
          <t>SA-12</t>
        </is>
      </c>
      <c r="B114" s="17" t="inlineStr">
        <is>
          <t>product_gap</t>
        </is>
      </c>
      <c r="C114" s="17" t="inlineStr">
        <is>
          <t>ECO-01</t>
        </is>
      </c>
      <c r="D114" s="17" t="inlineStr">
        <is>
          <t>software</t>
        </is>
      </c>
      <c r="E114" s="17" t="inlineStr">
        <is>
          <t>app</t>
        </is>
      </c>
      <c r="F114" s="18" t="inlineStr">
        <is>
          <t>Ha conflito entre a demonstracao planejada com QR e a decisao tecnica que substituiu QR por reconhecimento de forma.</t>
        </is>
      </c>
      <c r="G114" s="18" t="inlineStr">
        <is>
          <t>DOC-C11-008 (Cena B): 'Usar QR/atalho para sair do objeto fisico e abrir o contexto correto'. DOC-C04-002: 'PR #75 substituiu QR impresso pelos 5 simbolos administrativos reconhecidos diretamente por forma na imagem da camera'.</t>
        </is>
      </c>
      <c r="H114" s="17" t="inlineStr">
        <is>
          <t>DOC-C11-008;DOC-C04-002</t>
        </is>
      </c>
      <c r="I114" s="17" t="inlineStr">
        <is>
          <t>strong</t>
        </is>
      </c>
      <c r="J114" s="17" t="inlineStr">
        <is>
          <t>0.85</t>
        </is>
      </c>
      <c r="K114" s="17" t="inlineStr">
        <is>
          <t>conflict</t>
        </is>
      </c>
      <c r="L114" s="17" t="inlineStr">
        <is>
          <t>medium</t>
        </is>
      </c>
      <c r="M114" s="17" t="inlineStr">
        <is>
          <t>high</t>
        </is>
      </c>
      <c r="N114" s="18" t="inlineStr">
        <is>
          <t>Atualizar o roteiro da Demonstracao 03 antes da gravacao de 02/09; gravar QR mostraria funcionalidade que nao existe mais.</t>
        </is>
      </c>
    </row>
    <row r="115">
      <c r="A115" s="17" t="inlineStr">
        <is>
          <t>SA-13</t>
        </is>
      </c>
      <c r="B115" s="17" t="inlineStr">
        <is>
          <t>launch_plan</t>
        </is>
      </c>
      <c r="C115" s="17" t="inlineStr">
        <is>
          <t>ECO-01</t>
        </is>
      </c>
      <c r="D115" s="17" t="inlineStr">
        <is>
          <t>software</t>
        </is>
      </c>
      <c r="E115" s="17" t="inlineStr">
        <is>
          <t>owned_web</t>
        </is>
      </c>
      <c r="F115" s="18" t="inlineStr">
        <is>
          <t>O GTM tem capacidade declarada, folga explicita e data de congelamento.</t>
        </is>
      </c>
      <c r="G115" s="18" t="inlineStr">
        <is>
          <t>DOC-C06-001: '12 dias de producao, 10 gates G0-G9, 60h comprometidas, 12h reserva' sobre '72h potenciais'; fases: producao 25/08-05/09, buffer 06/09, lancamento 07/09.</t>
        </is>
      </c>
      <c r="H115" s="17" t="inlineStr">
        <is>
          <t>DOC-C06-001;DOC-C08-011;DOC-C18-002</t>
        </is>
      </c>
      <c r="I115" s="17" t="inlineStr">
        <is>
          <t>strong</t>
        </is>
      </c>
      <c r="J115" s="17" t="inlineStr">
        <is>
          <t>0.9</t>
        </is>
      </c>
      <c r="K115" s="17" t="inlineStr">
        <is>
          <t>fact</t>
        </is>
      </c>
      <c r="L115" s="17" t="inlineStr">
        <is>
          <t>high</t>
        </is>
      </c>
      <c r="M115" s="17" t="inlineStr">
        <is>
          <t>high</t>
        </is>
      </c>
      <c r="N115" s="18" t="inlineStr">
        <is>
          <t>Manter as 12h de reserva intocadas; consumi-las antes de 04/09 e o indicador antecipado de que o freeze vai falhar.</t>
        </is>
      </c>
    </row>
    <row r="116">
      <c r="A116" s="17" t="inlineStr">
        <is>
          <t>SA-13</t>
        </is>
      </c>
      <c r="B116" s="17" t="inlineStr">
        <is>
          <t>launch_gates</t>
        </is>
      </c>
      <c r="C116" s="17" t="inlineStr">
        <is>
          <t>ECO-01</t>
        </is>
      </c>
      <c r="D116" s="17" t="inlineStr">
        <is>
          <t>software</t>
        </is>
      </c>
      <c r="E116" s="17" t="inlineStr">
        <is>
          <t>owned_web</t>
        </is>
      </c>
      <c r="F116" s="18" t="inlineStr">
        <is>
          <t>A cadeia de valor do lancamento e sequencial em dez gates, do control plane ao launch.</t>
        </is>
      </c>
      <c r="G116" s="18" t="inlineStr">
        <is>
          <t>DOC-C06-001: 'G0 Control Plane, G1 Destinos, G2 Commerce, G3 Editorial, G4 Derivados, G5 Showroom, G6 Distribuicao, G7 Tracking, G8 Freeze, G9 Launch'; regra: 'Nao: produzir tudo -&gt; acumular -&gt; tentar publicar tudo em 06/09'.</t>
        </is>
      </c>
      <c r="H116" s="17" t="inlineStr">
        <is>
          <t>DOC-C06-001;DOC-C08-011</t>
        </is>
      </c>
      <c r="I116" s="17" t="inlineStr">
        <is>
          <t>strong</t>
        </is>
      </c>
      <c r="J116" s="17" t="inlineStr">
        <is>
          <t>0.9</t>
        </is>
      </c>
      <c r="K116" s="17" t="inlineStr">
        <is>
          <t>fact</t>
        </is>
      </c>
      <c r="L116" s="17" t="inlineStr">
        <is>
          <t>high</t>
        </is>
      </c>
      <c r="M116" s="17" t="inlineStr">
        <is>
          <t>high</t>
        </is>
      </c>
      <c r="N116" s="18" t="inlineStr">
        <is>
          <t>Reportar progresso por gate, nao por percentual de tarefas; a ordem dos gates e a unica protecao contra acumulo.</t>
        </is>
      </c>
    </row>
    <row r="117">
      <c r="A117" s="17" t="inlineStr">
        <is>
          <t>SA-13</t>
        </is>
      </c>
      <c r="B117" s="17" t="inlineStr">
        <is>
          <t>launch_criteria</t>
        </is>
      </c>
      <c r="C117" s="17" t="inlineStr">
        <is>
          <t>ECO-01</t>
        </is>
      </c>
      <c r="D117" s="17" t="inlineStr">
        <is>
          <t>software</t>
        </is>
      </c>
      <c r="E117" s="17" t="inlineStr">
        <is>
          <t>owned_web</t>
        </is>
      </c>
      <c r="F117" s="17" t="inlineStr">
        <is>
          <t>Existem dez criterios objetivos de congelamento em 05/09.</t>
        </is>
      </c>
      <c r="G117" s="18" t="inlineStr">
        <is>
          <t>DOC-C08-007: paginas criticas abrem em celular e computador; chamadas chegam ao destino; formularios recebem; ofertas digitais cadastradas; afiliados identificados; pecas publicadas ou agendadas; demonstracoes acessiveis; redes agendadas; medicao basica funciona; nenhuma entrega critica aguardando producao.</t>
        </is>
      </c>
      <c r="H117" s="17" t="inlineStr">
        <is>
          <t>DOC-C08-007;DOC-C16-003</t>
        </is>
      </c>
      <c r="I117" s="17" t="inlineStr">
        <is>
          <t>strong</t>
        </is>
      </c>
      <c r="J117" s="17" t="inlineStr">
        <is>
          <t>0.9</t>
        </is>
      </c>
      <c r="K117" s="17" t="inlineStr">
        <is>
          <t>fact</t>
        </is>
      </c>
      <c r="L117" s="17" t="inlineStr">
        <is>
          <t>high</t>
        </is>
      </c>
      <c r="M117" s="17" t="inlineStr">
        <is>
          <t>high</t>
        </is>
      </c>
      <c r="N117" s="18" t="inlineStr">
        <is>
          <t>Rodar os dez criterios como checklist binario em 04/09, nao em 05/09; sobra um dia para corrigir o que falhar.</t>
        </is>
      </c>
    </row>
    <row r="118">
      <c r="A118" s="17" t="inlineStr">
        <is>
          <t>SA-13</t>
        </is>
      </c>
      <c r="B118" s="17" t="inlineStr">
        <is>
          <t>channels</t>
        </is>
      </c>
      <c r="C118" s="17" t="inlineStr">
        <is>
          <t>ECO-02</t>
        </is>
      </c>
      <c r="D118" s="17" t="inlineStr">
        <is>
          <t>content_community</t>
        </is>
      </c>
      <c r="E118" s="17" t="inlineStr">
        <is>
          <t>social</t>
        </is>
      </c>
      <c r="F118" s="18" t="inlineStr">
        <is>
          <t>A estrategia de canais foi simplificada: blog como peca-mae e um canal principal de video com playlists.</t>
        </is>
      </c>
      <c r="G118" s="18" t="inlineStr">
        <is>
          <t>DOC-C05-001: 'Blog como peca-mae editorial, YouTube com videos majoritariamente verticais, reaproveitamento em Instagram e TikTok, e LinkedIn com abordagem mais tecnica'; QL-0038: 'A estrategia de cinco canais e substituida por um canal principal com playlists'.</t>
        </is>
      </c>
      <c r="H118" s="17" t="inlineStr">
        <is>
          <t>DOC-C05-001;DOC-C07-007</t>
        </is>
      </c>
      <c r="I118" s="17" t="inlineStr">
        <is>
          <t>strong</t>
        </is>
      </c>
      <c r="J118" s="17" t="inlineStr">
        <is>
          <t>0.85</t>
        </is>
      </c>
      <c r="K118" s="17" t="inlineStr">
        <is>
          <t>fact</t>
        </is>
      </c>
      <c r="L118" s="17" t="inlineStr">
        <is>
          <t>high</t>
        </is>
      </c>
      <c r="M118" s="17" t="inlineStr">
        <is>
          <t>medium</t>
        </is>
      </c>
      <c r="N118" s="18" t="inlineStr">
        <is>
          <t>Manter a simplificacao; com 60h comprometidas, cinco canais ativos e a forma mais rapida de estourar a capacidade.</t>
        </is>
      </c>
    </row>
    <row r="119">
      <c r="A119" s="17" t="inlineStr">
        <is>
          <t>SA-13</t>
        </is>
      </c>
      <c r="B119" s="17" t="inlineStr">
        <is>
          <t>channel_hypothesis</t>
        </is>
      </c>
      <c r="C119" s="17" t="inlineStr">
        <is>
          <t>ECO-02</t>
        </is>
      </c>
      <c r="D119" s="17" t="inlineStr">
        <is>
          <t>content_community</t>
        </is>
      </c>
      <c r="E119" s="17" t="inlineStr">
        <is>
          <t>owned_web</t>
        </is>
      </c>
      <c r="F119" s="18" t="inlineStr">
        <is>
          <t>A escolha do blog como canal inicial e uma hipotese declarada, nao um resultado medido.</t>
        </is>
      </c>
      <c r="G119" s="18" t="inlineStr">
        <is>
          <t>QL-000057: 'A equipe decidiu priorizar um blog visual-first com newsletter como canal inicial, com a hipotese de que blogs gerariam mais leads qualificados do que redes sociais dispersas para este publico'.</t>
        </is>
      </c>
      <c r="H119" s="17" t="inlineStr">
        <is>
          <t>DOC-C07-007</t>
        </is>
      </c>
      <c r="I119" s="17" t="inlineStr">
        <is>
          <t>moderate</t>
        </is>
      </c>
      <c r="J119" s="17" t="inlineStr">
        <is>
          <t>0.75</t>
        </is>
      </c>
      <c r="K119" s="17" t="inlineStr">
        <is>
          <t>fact</t>
        </is>
      </c>
      <c r="L119" s="17" t="inlineStr">
        <is>
          <t>medium</t>
        </is>
      </c>
      <c r="M119" s="17" t="inlineStr">
        <is>
          <t>medium</t>
        </is>
      </c>
      <c r="N119" s="18" t="inlineStr">
        <is>
          <t>Instrumentar origem do lead desde o D1 para que a hipotese possa ser confirmada ou derrubada na primeira campanha.</t>
        </is>
      </c>
    </row>
    <row r="120">
      <c r="A120" s="17" t="inlineStr">
        <is>
          <t>SA-13</t>
        </is>
      </c>
      <c r="B120" s="17" t="inlineStr">
        <is>
          <t>campaign</t>
        </is>
      </c>
      <c r="C120" s="17" t="inlineStr">
        <is>
          <t>ECO-02</t>
        </is>
      </c>
      <c r="D120" s="17" t="inlineStr">
        <is>
          <t>content_community</t>
        </is>
      </c>
      <c r="E120" s="17" t="inlineStr">
        <is>
          <t>owned_web</t>
        </is>
      </c>
      <c r="F120" s="18" t="inlineStr">
        <is>
          <t>A campanha inaugural do Risco Cognitivo tem escopo fechado: 14 dias, 18 ativos, CTA editorial.</t>
        </is>
      </c>
      <c r="G120" s="18" t="inlineStr">
        <is>
          <t>DOC-C02-043: 'Nome: Antes do Projeto Existe o Risco Cognitivo. Duracao: 14 dias... Pacote: 1 artigo, 1 newsletter, 1 video principal, 3 videos curtos, 2 carrosseis, 6 posts curtos, 1 infografico, 1 checklist, 1 lead magnet e 1 landing page - 18 ativos principais'; cronograma D1-D14 detalhado em DOC-C02-039.</t>
        </is>
      </c>
      <c r="H120" s="17" t="inlineStr">
        <is>
          <t>DOC-C02-043;DOC-C02-039;DOC-C02-014</t>
        </is>
      </c>
      <c r="I120" s="17" t="inlineStr">
        <is>
          <t>strong</t>
        </is>
      </c>
      <c r="J120" s="17" t="inlineStr">
        <is>
          <t>0.9</t>
        </is>
      </c>
      <c r="K120" s="17" t="inlineStr">
        <is>
          <t>fact</t>
        </is>
      </c>
      <c r="L120" s="17" t="inlineStr">
        <is>
          <t>high</t>
        </is>
      </c>
      <c r="M120" s="17" t="inlineStr">
        <is>
          <t>high</t>
        </is>
      </c>
      <c r="N120" s="18" t="inlineStr">
        <is>
          <t>Verificar se ha capacidade para a campanha de 14 dias imediatamente apos as 60h do GTM de 07/09; hoje os dois planos nao se conversam.</t>
        </is>
      </c>
    </row>
    <row r="121">
      <c r="A121" s="17" t="inlineStr">
        <is>
          <t>SA-13</t>
        </is>
      </c>
      <c r="B121" s="17" t="inlineStr">
        <is>
          <t>content_spec</t>
        </is>
      </c>
      <c r="C121" s="17" t="inlineStr">
        <is>
          <t>ECO-02</t>
        </is>
      </c>
      <c r="D121" s="17" t="inlineStr">
        <is>
          <t>content_community</t>
        </is>
      </c>
      <c r="E121" s="17" t="inlineStr">
        <is>
          <t>owned_web</t>
        </is>
      </c>
      <c r="F121" s="18" t="inlineStr">
        <is>
          <t>Ha conflito sobre a extensao do artigo fundador entre dois documentos do mesmo pacote.</t>
        </is>
      </c>
      <c r="G121" s="18" t="inlineStr">
        <is>
          <t>DOC-C01-004 (Execute): 'Escreva primeiro aproximadamente 2.500-3.500 palavras'. DOC-C02-043 e DOC-C02-042: 'Meta atual: 1.200-1.800 palavras e 14-18 paragrafos; a proposta anterior de cerca de 3.000 palavras foi descartada' e RC-040 registra a revisao.</t>
        </is>
      </c>
      <c r="H121" s="17" t="inlineStr">
        <is>
          <t>DOC-C01-004;DOC-C02-043;DOC-C02-042;DOC-C02-014</t>
        </is>
      </c>
      <c r="I121" s="17" t="inlineStr">
        <is>
          <t>strong</t>
        </is>
      </c>
      <c r="J121" s="17" t="inlineStr">
        <is>
          <t>0.85</t>
        </is>
      </c>
      <c r="K121" s="17" t="inlineStr">
        <is>
          <t>conflict</t>
        </is>
      </c>
      <c r="L121" s="17" t="inlineStr">
        <is>
          <t>medium</t>
        </is>
      </c>
      <c r="M121" s="17" t="inlineStr">
        <is>
          <t>high</t>
        </is>
      </c>
      <c r="N121" s="18" t="inlineStr">
        <is>
          <t>Marcar DOC-C01-004 como versao superada nesse ponto especifico; sem isso o redator pode escrever o dobro do necessario.</t>
        </is>
      </c>
    </row>
    <row r="122">
      <c r="A122" s="17" t="inlineStr">
        <is>
          <t>SA-13</t>
        </is>
      </c>
      <c r="B122" s="17" t="inlineStr">
        <is>
          <t>cta_registry</t>
        </is>
      </c>
      <c r="C122" s="17" t="inlineStr">
        <is>
          <t>ECO-01</t>
        </is>
      </c>
      <c r="D122" s="17" t="inlineStr">
        <is>
          <t>software</t>
        </is>
      </c>
      <c r="E122" s="17" t="inlineStr">
        <is>
          <t>owned_web</t>
        </is>
      </c>
      <c r="F122" s="18" t="inlineStr">
        <is>
          <t>O CTA Registry com dez destinos e requisito previo a producao de qualquer peca.</t>
        </is>
      </c>
      <c r="G122" s="18" t="inlineStr">
        <is>
          <t>DOC-C06-001: 'CTA Registry - obrigatorio antes de produzir. Assim nenhuma peca termina com adicionar CTA depois'; DOC-C02-004 registra SAS-44/CTAREG-01 com DoD '10 CTAs com destino e oferta definidos e publicados no registry'.</t>
        </is>
      </c>
      <c r="H122" s="17" t="inlineStr">
        <is>
          <t>DOC-C06-001;DOC-C02-004;DOC-C08-003</t>
        </is>
      </c>
      <c r="I122" s="17" t="inlineStr">
        <is>
          <t>strong</t>
        </is>
      </c>
      <c r="J122" s="17" t="inlineStr">
        <is>
          <t>0.9</t>
        </is>
      </c>
      <c r="K122" s="17" t="inlineStr">
        <is>
          <t>fact</t>
        </is>
      </c>
      <c r="L122" s="17" t="inlineStr">
        <is>
          <t>high</t>
        </is>
      </c>
      <c r="M122" s="17" t="inlineStr">
        <is>
          <t>high</t>
        </is>
      </c>
      <c r="N122" s="18" t="inlineStr">
        <is>
          <t>Auditar os 10 CTAs contra destinos reais; DOC-C10-008 mostra chamada e destino ainda como [PREENCHER] nas pecas.</t>
        </is>
      </c>
    </row>
    <row r="123">
      <c r="A123" s="17" t="inlineStr">
        <is>
          <t>SA-13</t>
        </is>
      </c>
      <c r="B123" s="17" t="inlineStr">
        <is>
          <t>execution_gap</t>
        </is>
      </c>
      <c r="C123" s="17" t="inlineStr">
        <is>
          <t>ECO-02</t>
        </is>
      </c>
      <c r="D123" s="17" t="inlineStr">
        <is>
          <t>content_community</t>
        </is>
      </c>
      <c r="E123" s="17" t="inlineStr">
        <is>
          <t>owned_web</t>
        </is>
      </c>
      <c r="F123" s="18" t="inlineStr">
        <is>
          <t>As pecas editoriais estao com chamada, destino e brinde por preencher, e a agenda mestra esta vazia.</t>
        </is>
      </c>
      <c r="G123" s="18" t="inlineStr">
        <is>
          <t>DOC-C10-008: 'chamada principal: [PREENCHER] - destino: [PREENCHER] - brinde: [PREENCHER ou NAO SE APLICA]'; DOC-C14-007: todas as linhas da agenda mestra com Data 'preencher' e Estado 'planejar'.</t>
        </is>
      </c>
      <c r="H123" s="17" t="inlineStr">
        <is>
          <t>DOC-C10-008;DOC-C14-007;DOC-C10-011</t>
        </is>
      </c>
      <c r="I123" s="17" t="inlineStr">
        <is>
          <t>strong</t>
        </is>
      </c>
      <c r="J123" s="17" t="inlineStr">
        <is>
          <t>0.9</t>
        </is>
      </c>
      <c r="K123" s="17" t="inlineStr">
        <is>
          <t>fact</t>
        </is>
      </c>
      <c r="L123" s="17" t="inlineStr">
        <is>
          <t>high</t>
        </is>
      </c>
      <c r="M123" s="17" t="inlineStr">
        <is>
          <t>high</t>
        </is>
      </c>
      <c r="N123" s="18" t="inlineStr">
        <is>
          <t>Preencher CTA e destino antes de escrever texto; a propria regra do GTM exige destino antes de producao (gate G1 antes de G3).</t>
        </is>
      </c>
    </row>
    <row r="124">
      <c r="A124" s="17" t="inlineStr">
        <is>
          <t>SA-13</t>
        </is>
      </c>
      <c r="B124" s="17" t="inlineStr">
        <is>
          <t>gift_dependency</t>
        </is>
      </c>
      <c r="C124" s="17" t="inlineStr">
        <is>
          <t>ECO-01</t>
        </is>
      </c>
      <c r="D124" s="17" t="inlineStr">
        <is>
          <t>software</t>
        </is>
      </c>
      <c r="E124" s="17" t="inlineStr">
        <is>
          <t>owned_web</t>
        </is>
      </c>
      <c r="F124" s="18" t="inlineStr">
        <is>
          <t>O brinde canonico ainda e uma decisao pendente, e ele e dependencia de tres pecas editoriais.</t>
        </is>
      </c>
      <c r="G124" s="18" t="inlineStr">
        <is>
          <t>DOC-C10-029: 'Decisao pendente - Definir um unico brinde reutilizavel no lancamento'; DOC-C06-001: 'GIFT-001 e uma cadeia propria: asset -&gt; capa -&gt; landing -&gt; formulario -&gt; confirmacao -&gt; entrega/download -&gt; CTA -&gt; tracking -&gt; evidence. Se o artigo depende do GIFT-001, ele nao esta DONE enquanto essa cadeia nao funcionar'.</t>
        </is>
      </c>
      <c r="H124" s="17" t="inlineStr">
        <is>
          <t>DOC-C10-029;DOC-C06-001;DOC-C10-011;DOC-C10-019;DOC-C10-027</t>
        </is>
      </c>
      <c r="I124" s="17" t="inlineStr">
        <is>
          <t>strong</t>
        </is>
      </c>
      <c r="J124" s="17" t="inlineStr">
        <is>
          <t>0.9</t>
        </is>
      </c>
      <c r="K124" s="17" t="inlineStr">
        <is>
          <t>fact</t>
        </is>
      </c>
      <c r="L124" s="17" t="inlineStr">
        <is>
          <t>high</t>
        </is>
      </c>
      <c r="M124" s="17" t="inlineStr">
        <is>
          <t>high</t>
        </is>
      </c>
      <c r="N124" s="18" t="inlineStr">
        <is>
          <t>Decidir o brinde unico imediatamente ou declarar as tres pecas como 'sem brinde'; e o bloqueio de maior alcance do lancamento.</t>
        </is>
      </c>
    </row>
    <row r="125">
      <c r="A125" s="17" t="inlineStr">
        <is>
          <t>SA-13</t>
        </is>
      </c>
      <c r="B125" s="17" t="inlineStr">
        <is>
          <t>measurement</t>
        </is>
      </c>
      <c r="C125" s="17" t="inlineStr">
        <is>
          <t>ECO-01</t>
        </is>
      </c>
      <c r="D125" s="17" t="inlineStr">
        <is>
          <t>software</t>
        </is>
      </c>
      <c r="E125" s="17" t="inlineStr">
        <is>
          <t>owned_web</t>
        </is>
      </c>
      <c r="F125" s="18" t="inlineStr">
        <is>
          <t>O plano de medicao de lancamento cobre a cadeia de conversao, mas nao define metas.</t>
        </is>
      </c>
      <c r="G125" s="18" t="inlineStr">
        <is>
          <t>DOC-C16-003 verifica 'chamada -&gt; destino; formulario -&gt; recebimento; pagamento/cadastro -&gt; confirmacao; download -&gt; arquivo; afiliado -&gt; ligacao identificada; principais eventos de acesso/conversao', sem numero-alvo em nenhum item.</t>
        </is>
      </c>
      <c r="H125" s="17" t="inlineStr">
        <is>
          <t>DOC-C16-003;DOC-C14-007</t>
        </is>
      </c>
      <c r="I125" s="17" t="inlineStr">
        <is>
          <t>moderate</t>
        </is>
      </c>
      <c r="J125" s="17" t="inlineStr">
        <is>
          <t>0.8</t>
        </is>
      </c>
      <c r="K125" s="17" t="inlineStr">
        <is>
          <t>fact</t>
        </is>
      </c>
      <c r="L125" s="17" t="inlineStr">
        <is>
          <t>medium</t>
        </is>
      </c>
      <c r="M125" s="17" t="inlineStr">
        <is>
          <t>medium</t>
        </is>
      </c>
      <c r="N125" s="18" t="inlineStr">
        <is>
          <t>Coerente com a regra de nao fixar meta sem baseline; registrar explicitamente que 07/09 e coleta de baseline, nao meta.</t>
        </is>
      </c>
    </row>
    <row r="126">
      <c r="A126" s="17" t="inlineStr">
        <is>
          <t>SA-13</t>
        </is>
      </c>
      <c r="B126" s="17" t="inlineStr">
        <is>
          <t>attribution</t>
        </is>
      </c>
      <c r="C126" s="17" t="inlineStr">
        <is>
          <t>ECO-01</t>
        </is>
      </c>
      <c r="D126" s="17" t="inlineStr">
        <is>
          <t>software</t>
        </is>
      </c>
      <c r="E126" s="17" t="inlineStr">
        <is>
          <t>affiliate</t>
        </is>
      </c>
      <c r="F126" s="18" t="inlineStr">
        <is>
          <t>O programa de afiliados exige cadastro e IDs por canal que ainda nao foram executados.</t>
        </is>
      </c>
      <c r="G126" s="18" t="inlineStr">
        <is>
          <t>DOC-C05-001: 'Pendencia operacional ja definida: AF-SETUP-001 - Cadastrar Amazon Associados + criar IDs de rastreamento + substituir links-base'; DOC-C08-003 lista 'Conteudo com afiliado' dependendo de 'cadastro de associado + ligacao identificada'.</t>
        </is>
      </c>
      <c r="H126" s="17" t="inlineStr">
        <is>
          <t>DOC-C05-001;DOC-C08-003;DOC-C08-007</t>
        </is>
      </c>
      <c r="I126" s="17" t="inlineStr">
        <is>
          <t>strong</t>
        </is>
      </c>
      <c r="J126" s="17" t="inlineStr">
        <is>
          <t>0.9</t>
        </is>
      </c>
      <c r="K126" s="17" t="inlineStr">
        <is>
          <t>fact</t>
        </is>
      </c>
      <c r="L126" s="17" t="inlineStr">
        <is>
          <t>medium</t>
        </is>
      </c>
      <c r="M126" s="17" t="inlineStr">
        <is>
          <t>high</t>
        </is>
      </c>
      <c r="N126" s="18" t="inlineStr">
        <is>
          <t>Executar AF-SETUP-001 antes de D4 (28/08), quando a primeira peca com referencia bibliografica fica pronta.</t>
        </is>
      </c>
    </row>
    <row r="127">
      <c r="A127" s="17" t="inlineStr">
        <is>
          <t>SA-13</t>
        </is>
      </c>
      <c r="B127" s="17" t="inlineStr">
        <is>
          <t>launch_day</t>
        </is>
      </c>
      <c r="C127" s="17" t="inlineStr">
        <is>
          <t>ECO-01</t>
        </is>
      </c>
      <c r="D127" s="17" t="inlineStr">
        <is>
          <t>software</t>
        </is>
      </c>
      <c r="E127" s="17" t="inlineStr">
        <is>
          <t>owned_web</t>
        </is>
      </c>
      <c r="F127" s="18" t="inlineStr">
        <is>
          <t>O dia do lancamento tem escopo negativo explicito: nada de producao em 07/09.</t>
        </is>
      </c>
      <c r="G127" s="18" t="inlineStr">
        <is>
          <t>DOC-C06-001: 'E: Ativar, Conferir, Observar, Responder, Registrar. Nao e: Editar landing, Terminar video, Produzir post, Cadastrar produto. Se isso estiver acontecendo em 07/09, o Freeze falhou'; DOC-C15-021 marca horas_planejadas 0.</t>
        </is>
      </c>
      <c r="H127" s="17" t="inlineStr">
        <is>
          <t>DOC-C06-001;DOC-C15-021</t>
        </is>
      </c>
      <c r="I127" s="17" t="inlineStr">
        <is>
          <t>strong</t>
        </is>
      </c>
      <c r="J127" s="17" t="inlineStr">
        <is>
          <t>0.9</t>
        </is>
      </c>
      <c r="K127" s="17" t="inlineStr">
        <is>
          <t>fact</t>
        </is>
      </c>
      <c r="L127" s="17" t="inlineStr">
        <is>
          <t>high</t>
        </is>
      </c>
      <c r="M127" s="17" t="inlineStr">
        <is>
          <t>medium</t>
        </is>
      </c>
      <c r="N127" s="18" t="inlineStr">
        <is>
          <t>Usar a lista negativa como criterio de retrospectiva do lancamento; ela ja define o que contara como falha.</t>
        </is>
      </c>
    </row>
    <row r="128">
      <c r="A128" s="17" t="inlineStr">
        <is>
          <t>SA-13</t>
        </is>
      </c>
      <c r="B128" s="17" t="inlineStr">
        <is>
          <t>gtm</t>
        </is>
      </c>
      <c r="C128" s="17" t="inlineStr">
        <is>
          <t>ECO-03</t>
        </is>
      </c>
      <c r="D128" s="17" t="inlineStr">
        <is>
          <t>digital_product</t>
        </is>
      </c>
      <c r="E128" s="17" t="n"/>
      <c r="F128" s="18" t="inlineStr">
        <is>
          <t>Nao ha plano de go-to-market para o framework como produto intelectual, apenas uma escada de maturidade.</t>
        </is>
      </c>
      <c r="G128" s="18" t="inlineStr">
        <is>
          <t>DOC-C02-031 (ordem estrategica) e DOC-C02-015 (pipeline de validacao) definem etapas de pesquisa, mas nenhum documento define publico academico-alvo, veiculo, evento ou cronograma de publicacao do white paper.</t>
        </is>
      </c>
      <c r="H128" s="17" t="inlineStr">
        <is>
          <t>DOC-C02-031;DOC-C02-015;DOC-C02-016</t>
        </is>
      </c>
      <c r="I128" s="17" t="inlineStr">
        <is>
          <t>none</t>
        </is>
      </c>
      <c r="J128" s="17" t="inlineStr">
        <is>
          <t>0.8</t>
        </is>
      </c>
      <c r="K128" s="17" t="inlineStr">
        <is>
          <t>gap</t>
        </is>
      </c>
      <c r="L128" s="17" t="inlineStr">
        <is>
          <t>medium</t>
        </is>
      </c>
      <c r="M128" s="17" t="inlineStr">
        <is>
          <t>medium</t>
        </is>
      </c>
      <c r="N128" s="18" t="inlineStr">
        <is>
          <t>Definir veiculo e prazo do white paper; sem data, a escada de maturidade fica indefinidamente na etapa 1.</t>
        </is>
      </c>
    </row>
    <row r="129">
      <c r="A129" s="17" t="inlineStr">
        <is>
          <t>SA-13</t>
        </is>
      </c>
      <c r="B129" s="17" t="inlineStr">
        <is>
          <t>gtm</t>
        </is>
      </c>
      <c r="C129" s="17" t="inlineStr">
        <is>
          <t>ECO-07</t>
        </is>
      </c>
      <c r="D129" s="17" t="inlineStr">
        <is>
          <t>professional_service</t>
        </is>
      </c>
      <c r="E129" s="17" t="inlineStr">
        <is>
          <t>direct_sales</t>
        </is>
      </c>
      <c r="F129" s="18" t="inlineStr">
        <is>
          <t>O GTM do servico se resume a uma pagina, um formulario e uma chamada CH-006 ainda nao funcional.</t>
        </is>
      </c>
      <c r="G129" s="18" t="inlineStr">
        <is>
          <t>DOC-C12-006 e DOC-C12-007 tem situacao 'verificar' e chamada principal CH-006; DOC-C09-006 lista 'chamada CH-006 funcionando' como pendencia; DOC-C12-003 define o formulario mas com situacao 'configurar'.</t>
        </is>
      </c>
      <c r="H129" s="17" t="inlineStr">
        <is>
          <t>DOC-C12-006;DOC-C12-007;DOC-C12-003;DOC-C09-006</t>
        </is>
      </c>
      <c r="I129" s="17" t="inlineStr">
        <is>
          <t>strong</t>
        </is>
      </c>
      <c r="J129" s="17" t="inlineStr">
        <is>
          <t>0.85</t>
        </is>
      </c>
      <c r="K129" s="17" t="inlineStr">
        <is>
          <t>fact</t>
        </is>
      </c>
      <c r="L129" s="17" t="inlineStr">
        <is>
          <t>high</t>
        </is>
      </c>
      <c r="M129" s="17" t="inlineStr">
        <is>
          <t>high</t>
        </is>
      </c>
      <c r="N129" s="18" t="inlineStr">
        <is>
          <t>Um servico de R$700 com aquisicao 100% inbound por uma pagina precisa de prova social; sem casos, priorizar lista de interesse em vez de venda direta.</t>
        </is>
      </c>
    </row>
    <row r="130">
      <c r="A130" s="17" t="inlineStr">
        <is>
          <t>SA-08B</t>
        </is>
      </c>
      <c r="B130" s="17" t="inlineStr">
        <is>
          <t>company</t>
        </is>
      </c>
      <c r="C130" s="17" t="inlineStr">
        <is>
          <t>ECO-02</t>
        </is>
      </c>
      <c r="D130" s="17" t="inlineStr">
        <is>
          <t>content_community</t>
        </is>
      </c>
      <c r="E130" s="17" t="inlineStr">
        <is>
          <t>owned_web</t>
        </is>
      </c>
      <c r="F130" s="18" t="inlineStr">
        <is>
          <t>A arquitetura de marca separa a publicacao (ativo) do autor (assinatura), decisao explicita e datada.</t>
        </is>
      </c>
      <c r="G130" s="18" t="inlineStr">
        <is>
          <t>DOC-C01-006: 'Risco Cognitivo -&gt; e a marca editorial; riscocognitivo.org -&gt; e a publicacao/site; @riscocognitivo -&gt; sao os canais da publicacao'; 'Eu evitaria chamar a pagina de Leonardo Batista | Risco Cognitivo no inicio... Risco Cognitivo deve ser o ativo de marca'.</t>
        </is>
      </c>
      <c r="H130" s="17" t="inlineStr">
        <is>
          <t>DOC-C01-006;DOC-C02-043</t>
        </is>
      </c>
      <c r="I130" s="17" t="inlineStr">
        <is>
          <t>strong</t>
        </is>
      </c>
      <c r="J130" s="17" t="inlineStr">
        <is>
          <t>0.9</t>
        </is>
      </c>
      <c r="K130" s="17" t="inlineStr">
        <is>
          <t>fact</t>
        </is>
      </c>
      <c r="L130" s="17" t="inlineStr">
        <is>
          <t>medium</t>
        </is>
      </c>
      <c r="M130" s="17" t="inlineStr">
        <is>
          <t>medium</t>
        </is>
      </c>
      <c r="N130" s="18" t="inlineStr">
        <is>
          <t>Reservar dominio e @handle antes de qualquer publicacao; DOC-C02-039 ja marca isso como o item AGORA da unidade.</t>
        </is>
      </c>
    </row>
    <row r="131">
      <c r="A131" s="17" t="inlineStr">
        <is>
          <t>SA-08C</t>
        </is>
      </c>
      <c r="B131" s="17" t="inlineStr">
        <is>
          <t>competitor</t>
        </is>
      </c>
      <c r="C131" s="17" t="inlineStr">
        <is>
          <t>ECO-01</t>
        </is>
      </c>
      <c r="D131" s="17" t="inlineStr">
        <is>
          <t>software</t>
        </is>
      </c>
      <c r="E131" s="17" t="inlineStr">
        <is>
          <t>app</t>
        </is>
      </c>
      <c r="F131" s="18" t="inlineStr">
        <is>
          <t>O acervo ja possui benchmark competitivo explicito por ferramenta e por eficacia, ainda que com forca de evidencia desigual.</t>
        </is>
      </c>
      <c r="G131" s="18" t="inlineStr">
        <is>
          <t>Ferramentas: QT-000172 (Notion 30% dificil de configurar), QL-000053 (Trello sem estrutura nativa), QL-000054 (Todoist limitado para iniciar). Eficacia: QT-000177 (Inflow, estudo aberto), QT-000178/179 (videogame terapeutico aprovado, STARS-ADHD-Adult).</t>
        </is>
      </c>
      <c r="H131" s="17" t="inlineStr">
        <is>
          <t>DOC-C07-007;DOC-C07-009</t>
        </is>
      </c>
      <c r="I131" s="17" t="inlineStr">
        <is>
          <t>moderate</t>
        </is>
      </c>
      <c r="J131" s="17" t="inlineStr">
        <is>
          <t>0.75</t>
        </is>
      </c>
      <c r="K131" s="17" t="inlineStr">
        <is>
          <t>fact</t>
        </is>
      </c>
      <c r="L131" s="17" t="inlineStr">
        <is>
          <t>high</t>
        </is>
      </c>
      <c r="M131" s="17" t="inlineStr">
        <is>
          <t>medium</t>
        </is>
      </c>
      <c r="N131" s="18" t="inlineStr">
        <is>
          <t>Consolidar num quadro unico de 5 concorrentes com eixo 'estrutura x iniciacao x retomada'; o insumo ja existe e nunca foi tabulado.</t>
        </is>
      </c>
    </row>
    <row r="132">
      <c r="A132" s="17" t="inlineStr">
        <is>
          <t>SA-08A</t>
        </is>
      </c>
      <c r="B132" s="17" t="inlineStr">
        <is>
          <t>customer</t>
        </is>
      </c>
      <c r="C132" s="17" t="inlineStr">
        <is>
          <t>ECO-02</t>
        </is>
      </c>
      <c r="D132" s="17" t="inlineStr">
        <is>
          <t>content_community</t>
        </is>
      </c>
      <c r="E132" s="17" t="inlineStr">
        <is>
          <t>owned_web</t>
        </is>
      </c>
      <c r="F132" s="18" t="inlineStr">
        <is>
          <t>O leitor-alvo do editorial e definido pelo reconhecimento do problema, nao pelo interesse em produtividade.</t>
        </is>
      </c>
      <c r="G132" s="18" t="inlineStr">
        <is>
          <t>DOC-C01-005 troca a pergunta editorial de 'Como ser mais produtivo sendo neurodivergente?' por 'O que pode dar errado entre aquilo que voce pretende fazer e aquilo que efetivamente consegue realizar - e como reduzir esse risco?'.</t>
        </is>
      </c>
      <c r="H132" s="17" t="inlineStr">
        <is>
          <t>DOC-C01-005;DOC-C03-002;DOC-C02-043</t>
        </is>
      </c>
      <c r="I132" s="17" t="inlineStr">
        <is>
          <t>strong</t>
        </is>
      </c>
      <c r="J132" s="17" t="inlineStr">
        <is>
          <t>0.85</t>
        </is>
      </c>
      <c r="K132" s="17" t="inlineStr">
        <is>
          <t>fact</t>
        </is>
      </c>
      <c r="L132" s="17" t="inlineStr">
        <is>
          <t>high</t>
        </is>
      </c>
      <c r="M132" s="17" t="inlineStr">
        <is>
          <t>medium</t>
        </is>
      </c>
      <c r="N132" s="18" t="inlineStr">
        <is>
          <t>Usar a segunda pergunta como teste de titulo: se o titulo respondesse a primeira pergunta, ele pertence a outra publicacao.</t>
        </is>
      </c>
    </row>
    <row r="133">
      <c r="A133" s="17" t="inlineStr">
        <is>
          <t>SA-09A</t>
        </is>
      </c>
      <c r="B133" s="17" t="inlineStr">
        <is>
          <t>strength</t>
        </is>
      </c>
      <c r="C133" s="17" t="inlineStr">
        <is>
          <t>ECO-03</t>
        </is>
      </c>
      <c r="D133" s="17" t="inlineStr">
        <is>
          <t>digital_product</t>
        </is>
      </c>
      <c r="E133" s="17" t="n"/>
      <c r="F133" s="18" t="inlineStr">
        <is>
          <t>Forca: a matriz Gestao de Projetos x TDAH separa nivel de evidencia (B/C) de inferencia de produto (E) linha a linha.</t>
        </is>
      </c>
      <c r="G133" s="18" t="inlineStr">
        <is>
          <t>DOC-C07-002 traz legenda explicita: 'B/C evidencia cientifica/clinica - C sustentacao clinica/publicada - E inferencia ou decisao de produto', e cada uma das 11 linhas carrega sua classificacao e sua fonte (NIMH, PubMed, Springer).</t>
        </is>
      </c>
      <c r="H133" s="17" t="inlineStr">
        <is>
          <t>DOC-C07-002;DOC-C07-003;DOC-C07-004</t>
        </is>
      </c>
      <c r="I133" s="17" t="inlineStr">
        <is>
          <t>strong</t>
        </is>
      </c>
      <c r="J133" s="17" t="inlineStr">
        <is>
          <t>0.9</t>
        </is>
      </c>
      <c r="K133" s="17" t="inlineStr">
        <is>
          <t>fact</t>
        </is>
      </c>
      <c r="L133" s="17" t="inlineStr">
        <is>
          <t>high</t>
        </is>
      </c>
      <c r="M133" s="17" t="inlineStr">
        <is>
          <t>medium</t>
        </is>
      </c>
      <c r="N133" s="18" t="inlineStr">
        <is>
          <t>Publicar a matriz como peca de autoridade: ela demonstra o metodo epistemico melhor do que qualquer texto sobre o metodo.</t>
        </is>
      </c>
    </row>
    <row r="134">
      <c r="A134" s="17" t="inlineStr">
        <is>
          <t>SA-09D</t>
        </is>
      </c>
      <c r="B134" s="17" t="inlineStr">
        <is>
          <t>threat</t>
        </is>
      </c>
      <c r="C134" s="17" t="inlineStr">
        <is>
          <t>ECO-03</t>
        </is>
      </c>
      <c r="D134" s="17" t="inlineStr">
        <is>
          <t>digital_product</t>
        </is>
      </c>
      <c r="E134" s="17" t="n"/>
      <c r="F134" s="18" t="inlineStr">
        <is>
          <t>Ameaca: a duplicidade documental do acervo pode reintroduzir versoes superadas em material publico.</t>
        </is>
      </c>
      <c r="G134" s="18" t="inlineStr">
        <is>
          <t>DOC-C03-002 (fonte original 'text 3.txt') e DOC-C01-005 contem o mesmo texto; DOC-C02-042/043 preservam decisoes superadas por politica declarada ('preservacao das decisoes superadas para manter proveniencia').</t>
        </is>
      </c>
      <c r="H134" s="17" t="inlineStr">
        <is>
          <t>DOC-C03-002;DOC-C01-005;DOC-C02-043</t>
        </is>
      </c>
      <c r="I134" s="17" t="inlineStr">
        <is>
          <t>moderate</t>
        </is>
      </c>
      <c r="J134" s="17" t="inlineStr">
        <is>
          <t>0.75</t>
        </is>
      </c>
      <c r="K134" s="17" t="inlineStr">
        <is>
          <t>inference</t>
        </is>
      </c>
      <c r="L134" s="17" t="inlineStr">
        <is>
          <t>medium</t>
        </is>
      </c>
      <c r="M134" s="17" t="inlineStr">
        <is>
          <t>medium</t>
        </is>
      </c>
      <c r="N134" s="18" t="inlineStr">
        <is>
          <t>Marcar no proprio arquivo quais versoes estao superadas (extensao do artigo, meta de inscritos, alocacao de AdSense); a proveniencia so protege se a superacao estiver visivel.</t>
        </is>
      </c>
    </row>
    <row r="135">
      <c r="A135" s="17" t="inlineStr">
        <is>
          <t>SA-01</t>
        </is>
      </c>
      <c r="B135" s="17" t="inlineStr">
        <is>
          <t>economic</t>
        </is>
      </c>
      <c r="C135" s="17" t="inlineStr">
        <is>
          <t>ECO-04</t>
        </is>
      </c>
      <c r="D135" s="17" t="inlineStr">
        <is>
          <t>physical_product</t>
        </is>
      </c>
      <c r="E135" s="17" t="inlineStr">
        <is>
          <t>owned_web</t>
        </is>
      </c>
      <c r="F135" s="18" t="inlineStr">
        <is>
          <t>A estrutura de custo declarada para o produto fisico depende de frete internacional e impostos de importacao, ambos ainda nao quantificados.</t>
        </is>
      </c>
      <c r="G135" s="18" t="inlineStr">
        <is>
          <t>Ecossistema, Unit Economics: 'Preco do fornecedor R$ 39 | + frete internacional preencher | + impostos/importacao preencher | + frete/localizacao preencher | + embalagem Executar preencher | + etiqueta/manual/QR preencher | = Custo posto / landed cost X'.</t>
        </is>
      </c>
      <c r="H135" s="17" t="inlineStr">
        <is>
          <t>DOC-C05-001</t>
        </is>
      </c>
      <c r="I135" s="17" t="inlineStr">
        <is>
          <t>strong</t>
        </is>
      </c>
      <c r="J135" s="17" t="inlineStr">
        <is>
          <t>0.85</t>
        </is>
      </c>
      <c r="K135" s="17" t="inlineStr">
        <is>
          <t>fact</t>
        </is>
      </c>
      <c r="L135" s="17" t="inlineStr">
        <is>
          <t>high</t>
        </is>
      </c>
      <c r="M135" s="17" t="inlineStr">
        <is>
          <t>high</t>
        </is>
      </c>
      <c r="N135" s="18" t="inlineStr">
        <is>
          <t>Antes de qualquer pre-venda, cotar frete e regime tributario de importacao de um SKU real e fechar o landed cost do Timer 45.</t>
        </is>
      </c>
    </row>
    <row r="136">
      <c r="A136" s="17" t="inlineStr">
        <is>
          <t>SA-01</t>
        </is>
      </c>
      <c r="B136" s="17" t="inlineStr">
        <is>
          <t>legal_regulatory</t>
        </is>
      </c>
      <c r="C136" s="17" t="inlineStr">
        <is>
          <t>ECO-05</t>
        </is>
      </c>
      <c r="D136" s="17" t="inlineStr">
        <is>
          <t>digital_product</t>
        </is>
      </c>
      <c r="E136" s="17" t="inlineStr">
        <is>
          <t>education_platform</t>
        </is>
      </c>
      <c r="F136" s="18" t="inlineStr">
        <is>
          <t>A Hotmart impoe requisito de autoria e proibicao de conteudo copiado ou gerado por IA no cadastro de e-books, o que restringe o workflow de producao assistida por IA.</t>
        </is>
      </c>
      <c r="G136" s="18" t="inlineStr">
        <is>
          <t>Ecossistema: 'A Hotmart hoje tambem exige, no cadastro de e-books, identificacao de autoria e informa que o conteudo nao deve conter trechos copiados da internet ou gerados por IA.' e 'eu trataria a redacao final comercial como conteudo autoral seu, revisado e referenciado'.</t>
        </is>
      </c>
      <c r="H136" s="17" t="inlineStr">
        <is>
          <t>DOC-C05-001</t>
        </is>
      </c>
      <c r="I136" s="17" t="inlineStr">
        <is>
          <t>moderate</t>
        </is>
      </c>
      <c r="J136" s="17" t="inlineStr">
        <is>
          <t>0.75</t>
        </is>
      </c>
      <c r="K136" s="17" t="inlineStr">
        <is>
          <t>fact</t>
        </is>
      </c>
      <c r="L136" s="17" t="inlineStr">
        <is>
          <t>high</t>
        </is>
      </c>
      <c r="M136" s="17" t="inlineStr">
        <is>
          <t>high</t>
        </is>
      </c>
      <c r="N136" s="18" t="inlineStr">
        <is>
          <t>Documentar a cadeia autoral de cada e-book (pesquisa assistida vs redacao autoral) antes de submeter o cadastro na Hotmart.</t>
        </is>
      </c>
    </row>
    <row r="137">
      <c r="A137" s="17" t="inlineStr">
        <is>
          <t>SA-01</t>
        </is>
      </c>
      <c r="B137" s="17" t="inlineStr">
        <is>
          <t>economic</t>
        </is>
      </c>
      <c r="C137" s="17" t="inlineStr">
        <is>
          <t>ECO-05</t>
        </is>
      </c>
      <c r="D137" s="17" t="inlineStr">
        <is>
          <t>digital_product</t>
        </is>
      </c>
      <c r="E137" s="17" t="inlineStr">
        <is>
          <t>education_platform</t>
        </is>
      </c>
      <c r="F137" s="18" t="inlineStr">
        <is>
          <t>A taxa da Hotmart muda dentro da janela de lancamento: 9,9% + R$ 1,00 hoje, com aumento anunciado da parcela fixa para R$ 2,49 em 21/09/2026.</t>
        </is>
      </c>
      <c r="G137" s="18" t="inlineStr">
        <is>
          <t>Ecossistema: 'a Central de Ajuda da Hotmart ainda mostra 9,9% + R$ 1,00 para transacoes gerais em BRL acima de R$ 10, mas informa que a taxa fixa passara a R$ 2,49 em 21 de setembro de 2026; a pagina comercial da Hotmart ja anuncia 9,9% + R$ 2,49. Eu faria suas projecoes usando 9,9% + R$ 2,49, por prudencia.'</t>
        </is>
      </c>
      <c r="H137" s="17" t="inlineStr">
        <is>
          <t>DOC-C05-001</t>
        </is>
      </c>
      <c r="I137" s="17" t="inlineStr">
        <is>
          <t>moderate</t>
        </is>
      </c>
      <c r="J137" s="17" t="inlineStr">
        <is>
          <t>0.8</t>
        </is>
      </c>
      <c r="K137" s="17" t="inlineStr">
        <is>
          <t>fact</t>
        </is>
      </c>
      <c r="L137" s="17" t="inlineStr">
        <is>
          <t>medium</t>
        </is>
      </c>
      <c r="M137" s="17" t="inlineStr">
        <is>
          <t>high</t>
        </is>
      </c>
      <c r="N137" s="18" t="inlineStr">
        <is>
          <t>Projetar margem do infoproduto com 9,9% + R$ 2,49 e reconferir a tabela vigente na semana do lancamento.</t>
        </is>
      </c>
    </row>
    <row r="138">
      <c r="A138" s="17" t="inlineStr">
        <is>
          <t>SA-01</t>
        </is>
      </c>
      <c r="B138" s="17" t="inlineStr">
        <is>
          <t>legal_regulatory</t>
        </is>
      </c>
      <c r="C138" s="17" t="inlineStr">
        <is>
          <t>ECO-06</t>
        </is>
      </c>
      <c r="D138" s="17" t="inlineStr">
        <is>
          <t>digital_product</t>
        </is>
      </c>
      <c r="E138" s="17" t="inlineStr">
        <is>
          <t>owned_web</t>
        </is>
      </c>
      <c r="F138" s="18" t="inlineStr">
        <is>
          <t>Posicionar um livro digital como sintese de obra protegida de Barkley cria exposicao autoral; o acervo ja registra a correcao de posicionamento.</t>
        </is>
      </c>
      <c r="G138" s="18" t="inlineStr">
        <is>
          <t>Ecossistema, 'Um alerta importante sobre autoria': 'No documento anterior, um dos produtos era definido como uma releitura e sintese de Barkley... Nao posicionaria: Sintese pratica do livro de Barkley. Posicionaria: Guia original baseado em evidencias sobre TDAH adulto, gestao e execucao, com Barkley e outros autores como referencias bibliograficas.'</t>
        </is>
      </c>
      <c r="H138" s="17" t="inlineStr">
        <is>
          <t>DOC-C05-001</t>
        </is>
      </c>
      <c r="I138" s="17" t="inlineStr">
        <is>
          <t>strong</t>
        </is>
      </c>
      <c r="J138" s="17" t="inlineStr">
        <is>
          <t>0.85</t>
        </is>
      </c>
      <c r="K138" s="17" t="inlineStr">
        <is>
          <t>fact</t>
        </is>
      </c>
      <c r="L138" s="17" t="inlineStr">
        <is>
          <t>high</t>
        </is>
      </c>
      <c r="M138" s="17" t="inlineStr">
        <is>
          <t>high</t>
        </is>
      </c>
      <c r="N138" s="18" t="inlineStr">
        <is>
          <t>Fixar a formulacao 'guia original com referencias bibliograficas' como trava de copy em capa, descricao e cadastro dos tres livros digitais.</t>
        </is>
      </c>
    </row>
    <row r="139">
      <c r="A139" s="17" t="inlineStr">
        <is>
          <t>SA-01</t>
        </is>
      </c>
      <c r="B139" s="17" t="inlineStr">
        <is>
          <t>legal_regulatory</t>
        </is>
      </c>
      <c r="C139" s="17" t="inlineStr">
        <is>
          <t>ECO-08</t>
        </is>
      </c>
      <c r="D139" s="17" t="inlineStr">
        <is>
          <t>content_community</t>
        </is>
      </c>
      <c r="E139" s="17" t="inlineStr">
        <is>
          <t>affiliate</t>
        </is>
      </c>
      <c r="F139" s="18" t="inlineStr">
        <is>
          <t>O programa de afiliados exige divulgacao explicita de monetizacao junto ao link, o que ja esta normatizado no acervo.</t>
        </is>
      </c>
      <c r="G139" s="18" t="inlineStr">
        <is>
          <t>Ecossistema, Master Index Afiliados AF-06: 'Todo link monetizado deve ser identificado'; copy padrao: 'Link de afiliado, posso receber comissao pela compra sem alteracao no preco para voce'; e 'A declaracao exigida pela Amazon no site e: Como associado da Amazon, eu recebo por compras qualificadas.'</t>
        </is>
      </c>
      <c r="H139" s="17" t="inlineStr">
        <is>
          <t>DOC-C05-001;DOC-C09-018</t>
        </is>
      </c>
      <c r="I139" s="17" t="inlineStr">
        <is>
          <t>strong</t>
        </is>
      </c>
      <c r="J139" s="17" t="inlineStr">
        <is>
          <t>0.85</t>
        </is>
      </c>
      <c r="K139" s="17" t="inlineStr">
        <is>
          <t>fact</t>
        </is>
      </c>
      <c r="L139" s="17" t="inlineStr">
        <is>
          <t>medium</t>
        </is>
      </c>
      <c r="M139" s="17" t="inlineStr">
        <is>
          <t>high</t>
        </is>
      </c>
      <c r="N139" s="18" t="inlineStr">
        <is>
          <t>Embutir o bloco de disclosure no componente editorial padrao antes de publicar qualquer peca com link de afiliado.</t>
        </is>
      </c>
    </row>
    <row r="140">
      <c r="A140" s="17" t="inlineStr">
        <is>
          <t>SA-01</t>
        </is>
      </c>
      <c r="B140" s="17" t="inlineStr">
        <is>
          <t>legal_regulatory</t>
        </is>
      </c>
      <c r="C140" s="17" t="inlineStr">
        <is>
          <t>ECO-08</t>
        </is>
      </c>
      <c r="D140" s="17" t="inlineStr">
        <is>
          <t>content_community</t>
        </is>
      </c>
      <c r="E140" s="17" t="inlineStr">
        <is>
          <t>owned_web</t>
        </is>
      </c>
      <c r="F140" s="18" t="inlineStr">
        <is>
          <t>O acervo recomenda registro do neologismo de marca e aquisicao de dominios como pre-condicao do ativo editorial, sem confirmacao de execucao.</t>
        </is>
      </c>
      <c r="G140" s="18" t="inlineStr">
        <is>
          <t>Dashboard QL-0037, tema Estrategia, subtema 'Protecao da marca': 'O documento recomenda registro do neologismo e aquisicao de dominios'; acao secundaria: 'Executar busca marcaria e juridica antes de investimento em protecao'. BMC 'AGORA': 'Confirmar dominio e reservar @riscocognitivo'.</t>
        </is>
      </c>
      <c r="H140" s="17" t="inlineStr">
        <is>
          <t>DOC-C07-009;DOC-C02-039</t>
        </is>
      </c>
      <c r="I140" s="17" t="inlineStr">
        <is>
          <t>moderate</t>
        </is>
      </c>
      <c r="J140" s="17" t="inlineStr">
        <is>
          <t>0.75</t>
        </is>
      </c>
      <c r="K140" s="17" t="inlineStr">
        <is>
          <t>fact</t>
        </is>
      </c>
      <c r="L140" s="17" t="inlineStr">
        <is>
          <t>medium</t>
        </is>
      </c>
      <c r="M140" s="17" t="inlineStr">
        <is>
          <t>high</t>
        </is>
      </c>
      <c r="N140" s="18" t="inlineStr">
        <is>
          <t>Fechar busca marcaria e reserva de dominio/handles antes do 07/09, ja que ambos sao dependencias de qualquer publicacao com marca.</t>
        </is>
      </c>
    </row>
    <row r="141">
      <c r="A141" s="17" t="inlineStr">
        <is>
          <t>SA-01</t>
        </is>
      </c>
      <c r="B141" s="17" t="inlineStr">
        <is>
          <t>legal_regulatory</t>
        </is>
      </c>
      <c r="C141" s="17" t="inlineStr">
        <is>
          <t>ECO-04</t>
        </is>
      </c>
      <c r="D141" s="17" t="inlineStr">
        <is>
          <t>physical_product</t>
        </is>
      </c>
      <c r="E141" s="17" t="inlineStr">
        <is>
          <t>owned_web</t>
        </is>
      </c>
      <c r="F141" s="18" t="inlineStr">
        <is>
          <t>A mockup de loja fisica promete devolucao em 7 dias e frete gratis acima de R$ 199 sem que exista politica, contrato de transporte ou operacao logistica documentada no acervo.</t>
        </is>
      </c>
      <c r="G141" s="18" t="inlineStr">
        <is>
          <t>Referencia visual Office Kit (mockup executar.com/kit-tdah-planner-reprint): 'Frete gratis acima de R$ 199 | Envio rapido e seguro | 7 dias para devolucao | Compra 100% segura'. Nenhum documento de produtos fisicos define politica de troca, transportadora ou prazo.</t>
        </is>
      </c>
      <c r="H141" s="17" t="inlineStr">
        <is>
          <t>DOC-C13-008;DOC-C09-008</t>
        </is>
      </c>
      <c r="I141" s="17" t="inlineStr">
        <is>
          <t>moderate</t>
        </is>
      </c>
      <c r="J141" s="17" t="inlineStr">
        <is>
          <t>0.7</t>
        </is>
      </c>
      <c r="K141" s="17" t="inlineStr">
        <is>
          <t>gap</t>
        </is>
      </c>
      <c r="L141" s="17" t="inlineStr">
        <is>
          <t>high</t>
        </is>
      </c>
      <c r="M141" s="17" t="inlineStr">
        <is>
          <t>high</t>
        </is>
      </c>
      <c r="N141" s="18" t="inlineStr">
        <is>
          <t>Nao publicar promessas de frete e devolucao sem politica escrita e operador logistico definido; remover as promessas da peca ate existir a politica.</t>
        </is>
      </c>
    </row>
    <row r="142">
      <c r="A142" s="17" t="inlineStr">
        <is>
          <t>SA-02</t>
        </is>
      </c>
      <c r="B142" s="17" t="inlineStr">
        <is>
          <t>threat_of_substitutes</t>
        </is>
      </c>
      <c r="C142" s="17" t="inlineStr">
        <is>
          <t>ECO-04</t>
        </is>
      </c>
      <c r="D142" s="17" t="inlineStr">
        <is>
          <t>physical_product</t>
        </is>
      </c>
      <c r="E142" s="17" t="inlineStr">
        <is>
          <t>marketplace</t>
        </is>
      </c>
      <c r="F142" s="18" t="inlineStr">
        <is>
          <t>O Timer 45 enfrenta substitutos diretos e visiveis em marketplaces brasileiros, com precos de varejo entre R$ 28,46 e R$ 97,90.</t>
        </is>
      </c>
      <c r="G142" s="18" t="inlineStr">
        <is>
          <t>Referencia visual Timer 45: captura de busca 'timer 45 cubo' com Sponsored products 'Timer Cubo Pomodoro Temporizador Digital R$97,90 (de R$196) Mercado Livre', 'DQDEDIAN Temporizador Pomodoro rotativo R$95,70 Amazon.com.br', 'Produtividade cubo temporizador sensor de gravidade R$28,46 (de R$31) AliExpress'.</t>
        </is>
      </c>
      <c r="H142" s="17" t="inlineStr">
        <is>
          <t>DOC-C13-010</t>
        </is>
      </c>
      <c r="I142" s="17" t="inlineStr">
        <is>
          <t>strong</t>
        </is>
      </c>
      <c r="J142" s="17" t="inlineStr">
        <is>
          <t>0.85</t>
        </is>
      </c>
      <c r="K142" s="17" t="inlineStr">
        <is>
          <t>fact</t>
        </is>
      </c>
      <c r="L142" s="17" t="inlineStr">
        <is>
          <t>high</t>
        </is>
      </c>
      <c r="M142" s="17" t="inlineStr">
        <is>
          <t>high</t>
        </is>
      </c>
      <c r="N142" s="18" t="inlineStr">
        <is>
          <t>Tratar o Timer 45 como item de comparacao aberta: usa-lo como componente do kit e nao como SKU de margem.</t>
        </is>
      </c>
    </row>
    <row r="143">
      <c r="A143" s="17" t="inlineStr">
        <is>
          <t>SA-02</t>
        </is>
      </c>
      <c r="B143" s="17" t="inlineStr">
        <is>
          <t>supplier_power</t>
        </is>
      </c>
      <c r="C143" s="17" t="inlineStr">
        <is>
          <t>ECO-04</t>
        </is>
      </c>
      <c r="D143" s="17" t="inlineStr">
        <is>
          <t>physical_product</t>
        </is>
      </c>
      <c r="E143" s="17" t="n"/>
      <c r="F143" s="18" t="inlineStr">
        <is>
          <t>O preco de fornecedor citado (R$ 39) esta na mesma faixa do preco de varejo do substituto mais barato observado (R$ 28,46), o que comprime a margem do SKU isolado.</t>
        </is>
      </c>
      <c r="G143" s="18" t="inlineStr">
        <is>
          <t>Ecossistema: 'No caso do Timer, os R$ 39 que voce mencionou sao apenas o preco de aquisicao aparente, nao o custo real do produto para o negocio'; captura de mercado mostra AliExpress a R$ 28,46 e Mercado Livre a R$ 97,90.</t>
        </is>
      </c>
      <c r="H143" s="17" t="inlineStr">
        <is>
          <t>DOC-C05-001;DOC-C13-010</t>
        </is>
      </c>
      <c r="I143" s="17" t="inlineStr">
        <is>
          <t>moderate</t>
        </is>
      </c>
      <c r="J143" s="17" t="inlineStr">
        <is>
          <t>0.7</t>
        </is>
      </c>
      <c r="K143" s="17" t="inlineStr">
        <is>
          <t>inference</t>
        </is>
      </c>
      <c r="L143" s="17" t="inlineStr">
        <is>
          <t>high</t>
        </is>
      </c>
      <c r="M143" s="17" t="inlineStr">
        <is>
          <t>high</t>
        </is>
      </c>
      <c r="N143" s="18" t="inlineStr">
        <is>
          <t>Recotar fornecedor e verificar se o R$ 39 sobrevive ao landed cost; se nao, comprar o timer como componente e nunca revende-lo isolado.</t>
        </is>
      </c>
    </row>
    <row r="144">
      <c r="A144" s="17" t="inlineStr">
        <is>
          <t>SA-02</t>
        </is>
      </c>
      <c r="B144" s="17" t="inlineStr">
        <is>
          <t>supplier_power</t>
        </is>
      </c>
      <c r="C144" s="17" t="inlineStr">
        <is>
          <t>ECO-04</t>
        </is>
      </c>
      <c r="D144" s="17" t="inlineStr">
        <is>
          <t>physical_product</t>
        </is>
      </c>
      <c r="E144" s="17" t="n"/>
      <c r="F144" s="18" t="inlineStr">
        <is>
          <t>Nenhum fornecedor, prazo de entrega, lote minimo ou contrato aparece nomeado em qualquer documento da linha fisica.</t>
        </is>
      </c>
      <c r="G144" s="18" t="inlineStr">
        <is>
          <t>DOC-C09-008 lista apenas 'Produto | Funcao | Situacao para lancamento' sem fornecedor; a cadeia de custo em DOC-C05-001 traz todos os componentes como 'preencher'.</t>
        </is>
      </c>
      <c r="H144" s="17" t="inlineStr">
        <is>
          <t>DOC-C09-008;DOC-C05-001</t>
        </is>
      </c>
      <c r="I144" s="17" t="inlineStr">
        <is>
          <t>strong</t>
        </is>
      </c>
      <c r="J144" s="17" t="inlineStr">
        <is>
          <t>0.85</t>
        </is>
      </c>
      <c r="K144" s="17" t="inlineStr">
        <is>
          <t>gap</t>
        </is>
      </c>
      <c r="L144" s="17" t="inlineStr">
        <is>
          <t>high</t>
        </is>
      </c>
      <c r="M144" s="17" t="inlineStr">
        <is>
          <t>high</t>
        </is>
      </c>
      <c r="N144" s="18" t="inlineStr">
        <is>
          <t>Nomear ao menos um fornecedor por SKU com MOQ e lead time antes de abrir pre-venda com prazo de entrega explicito.</t>
        </is>
      </c>
    </row>
    <row r="145">
      <c r="A145" s="17" t="inlineStr">
        <is>
          <t>SA-02</t>
        </is>
      </c>
      <c r="B145" s="17" t="inlineStr">
        <is>
          <t>buyer_power</t>
        </is>
      </c>
      <c r="C145" s="17" t="inlineStr">
        <is>
          <t>ECO-05</t>
        </is>
      </c>
      <c r="D145" s="17" t="inlineStr">
        <is>
          <t>digital_product</t>
        </is>
      </c>
      <c r="E145" s="17" t="inlineStr">
        <is>
          <t>education_platform</t>
        </is>
      </c>
      <c r="F145" s="18" t="inlineStr">
        <is>
          <t>O mercado de e-books de TDAH observado esta ancorado em preco baixo, o que limita o poder de preco do infoproduto de entrada.</t>
        </is>
      </c>
      <c r="G145" s="18" t="inlineStr">
        <is>
          <t>Ecossistema, Benchmark e-books: 'Ha ofertas de TDAH por R$ 19,90, R$ 27, R$ 29,90 e R$ 37,90; um e-book comercial da Artmed de Barkley, muito mais extenso e editorialmente tradicional, esta em R$ 97,28.'</t>
        </is>
      </c>
      <c r="H145" s="17" t="inlineStr">
        <is>
          <t>DOC-C05-001</t>
        </is>
      </c>
      <c r="I145" s="17" t="inlineStr">
        <is>
          <t>moderate</t>
        </is>
      </c>
      <c r="J145" s="17" t="inlineStr">
        <is>
          <t>0.7</t>
        </is>
      </c>
      <c r="K145" s="17" t="inlineStr">
        <is>
          <t>fact</t>
        </is>
      </c>
      <c r="L145" s="17" t="inlineStr">
        <is>
          <t>high</t>
        </is>
      </c>
      <c r="M145" s="17" t="inlineStr">
        <is>
          <t>medium</t>
        </is>
      </c>
      <c r="N145" s="18" t="inlineStr">
        <is>
          <t>Sustentar o preco por interatividade e ferramentas, nao por volume de paginas, e evitar competir na faixa de R$ 9,90.</t>
        </is>
      </c>
    </row>
    <row r="146">
      <c r="A146" s="17" t="inlineStr">
        <is>
          <t>SA-02</t>
        </is>
      </c>
      <c r="B146" s="17" t="inlineStr">
        <is>
          <t>rivalry</t>
        </is>
      </c>
      <c r="C146" s="17" t="inlineStr">
        <is>
          <t>ECO-05</t>
        </is>
      </c>
      <c r="D146" s="17" t="inlineStr">
        <is>
          <t>digital_product</t>
        </is>
      </c>
      <c r="E146" s="17" t="inlineStr">
        <is>
          <t>education_platform</t>
        </is>
      </c>
      <c r="F146" s="18" t="inlineStr">
        <is>
          <t>O benchmark de cursos vai de R$ 89,90 a R$ 1.997, e o acervo decide explicitamente nao competir nos extremos.</t>
        </is>
      </c>
      <c r="G146" s="18" t="inlineStr">
        <is>
          <t>Ecossistema, Benchmark curso: 'Curso introdutorio/profissional de TDAH 12h, 16 aulas R$ 89,90 | Curso neurodivergencia/trabalho 15+ aulas R$ 97 | Escola ampla 200+ aulas R$ 197 | Programa Ana Beatriz ~R$ 196 | Programa guiado 7 encontros R$ 197 | Programa premium TDAH 2.0 90 dias, 75 aulas, app/IA R$ 1.997'; 'Seu curso de entrada nao deve tentar competir com o programa de R$ 1.997 nem com uma formacao clinica de 12 horas.'</t>
        </is>
      </c>
      <c r="H146" s="17" t="inlineStr">
        <is>
          <t>DOC-C05-001</t>
        </is>
      </c>
      <c r="I146" s="17" t="inlineStr">
        <is>
          <t>moderate</t>
        </is>
      </c>
      <c r="J146" s="17" t="inlineStr">
        <is>
          <t>0.75</t>
        </is>
      </c>
      <c r="K146" s="17" t="inlineStr">
        <is>
          <t>fact</t>
        </is>
      </c>
      <c r="L146" s="17" t="inlineStr">
        <is>
          <t>high</t>
        </is>
      </c>
      <c r="M146" s="17" t="inlineStr">
        <is>
          <t>medium</t>
        </is>
      </c>
      <c r="N146" s="18" t="inlineStr">
        <is>
          <t>Manter o curso na faixa R$ 97 no lancamento e reservar programas acompanhados para outra categoria de oferta.</t>
        </is>
      </c>
    </row>
    <row r="147">
      <c r="A147" s="17" t="inlineStr">
        <is>
          <t>SA-02</t>
        </is>
      </c>
      <c r="B147" s="17" t="inlineStr">
        <is>
          <t>channel_power</t>
        </is>
      </c>
      <c r="C147" s="17" t="inlineStr">
        <is>
          <t>ECO-05</t>
        </is>
      </c>
      <c r="D147" s="17" t="inlineStr">
        <is>
          <t>digital_product</t>
        </is>
      </c>
      <c r="E147" s="17" t="inlineStr">
        <is>
          <t>education_platform</t>
        </is>
      </c>
      <c r="F147" s="18" t="inlineStr">
        <is>
          <t>A Hotmart concentra checkout, area de membros, analytics e infraestrutura de afiliados, criando dependencia de canal com custo transacional definido.</t>
        </is>
      </c>
      <c r="G147" s="18" t="inlineStr">
        <is>
          <t>Ecossistema, quadro 'Store propria x Hotmart': 'Checkout Proprio | Hotmart', 'Marketplace Nao | Sim', 'Dados de comportamento Mais controle | Analytics da Hotmart', 'Branding Total | Parcial'; taxa 9,9% + R$ 2,49.</t>
        </is>
      </c>
      <c r="H147" s="17" t="inlineStr">
        <is>
          <t>DOC-C05-001;DOC-C09-015</t>
        </is>
      </c>
      <c r="I147" s="17" t="inlineStr">
        <is>
          <t>moderate</t>
        </is>
      </c>
      <c r="J147" s="17" t="inlineStr">
        <is>
          <t>0.75</t>
        </is>
      </c>
      <c r="K147" s="17" t="inlineStr">
        <is>
          <t>fact</t>
        </is>
      </c>
      <c r="L147" s="17" t="inlineStr">
        <is>
          <t>medium</t>
        </is>
      </c>
      <c r="M147" s="17" t="inlineStr">
        <is>
          <t>medium</t>
        </is>
      </c>
      <c r="N147" s="18" t="inlineStr">
        <is>
          <t>Manter a edicao interativa na store propria e usar a Hotmart como canal de alcance, nao como unico ponto de venda.</t>
        </is>
      </c>
    </row>
    <row r="148">
      <c r="A148" s="17" t="inlineStr">
        <is>
          <t>SA-02</t>
        </is>
      </c>
      <c r="B148" s="17" t="inlineStr">
        <is>
          <t>supplier_power</t>
        </is>
      </c>
      <c r="C148" s="17" t="inlineStr">
        <is>
          <t>ECO-08</t>
        </is>
      </c>
      <c r="D148" s="17" t="inlineStr">
        <is>
          <t>content_community</t>
        </is>
      </c>
      <c r="E148" s="17" t="inlineStr">
        <is>
          <t>social</t>
        </is>
      </c>
      <c r="F148" s="18" t="inlineStr">
        <is>
          <t>Os quatro canais de distribuicao previstos sao plataformas de terceiros, e o proprio acervo faz essa correcao terminologica.</t>
        </is>
      </c>
      <c r="G148" s="18" t="inlineStr">
        <is>
          <t>Ecossistema: 'Eu so faria uma correcao terminologica importante: Instagram, YouTube, TikTok e LinkedIn nao sao plataformas proprietarias; sao plataformas alugadas/terceiras'; a arquitetura separa OWNED 01-04 de DISTRIBUICAO 01-04.</t>
        </is>
      </c>
      <c r="H148" s="17" t="inlineStr">
        <is>
          <t>DOC-C05-001;DOC-C14-004;DOC-C14-005;DOC-C14-006</t>
        </is>
      </c>
      <c r="I148" s="17" t="inlineStr">
        <is>
          <t>strong</t>
        </is>
      </c>
      <c r="J148" s="17" t="inlineStr">
        <is>
          <t>0.85</t>
        </is>
      </c>
      <c r="K148" s="17" t="inlineStr">
        <is>
          <t>fact</t>
        </is>
      </c>
      <c r="L148" s="17" t="inlineStr">
        <is>
          <t>high</t>
        </is>
      </c>
      <c r="M148" s="17" t="inlineStr">
        <is>
          <t>medium</t>
        </is>
      </c>
      <c r="N148" s="18" t="inlineStr">
        <is>
          <t>Medir cada peca por conversao para ativo proprio (biblioteca, newsletter) e nao por metrica nativa de plataforma alugada.</t>
        </is>
      </c>
    </row>
    <row r="149">
      <c r="A149" s="17" t="inlineStr">
        <is>
          <t>SA-02</t>
        </is>
      </c>
      <c r="B149" s="17" t="inlineStr">
        <is>
          <t>channel_power</t>
        </is>
      </c>
      <c r="C149" s="17" t="inlineStr">
        <is>
          <t>ECO-08</t>
        </is>
      </c>
      <c r="D149" s="17" t="inlineStr">
        <is>
          <t>content_community</t>
        </is>
      </c>
      <c r="E149" s="17" t="inlineStr">
        <is>
          <t>affiliate</t>
        </is>
      </c>
      <c r="F149" s="18" t="inlineStr">
        <is>
          <t>A receita de afiliados esta subordinada a uma tabela de comissao de terceiro de 10% sobre livros, sem poder de negociacao.</t>
        </is>
      </c>
      <c r="G149" s="18" t="inlineStr">
        <is>
          <t>Ecossistema: 'A Amazon permite monetizar sites, conteudo de redes sociais e aplicativos com Links Especiais rastreados. A tabela padrao atual informa 10% para livros e livros digitais em compras qualificadas.'</t>
        </is>
      </c>
      <c r="H149" s="17" t="inlineStr">
        <is>
          <t>DOC-C05-001;DOC-C09-018</t>
        </is>
      </c>
      <c r="I149" s="17" t="inlineStr">
        <is>
          <t>moderate</t>
        </is>
      </c>
      <c r="J149" s="17" t="inlineStr">
        <is>
          <t>0.75</t>
        </is>
      </c>
      <c r="K149" s="17" t="inlineStr">
        <is>
          <t>fact</t>
        </is>
      </c>
      <c r="L149" s="17" t="inlineStr">
        <is>
          <t>low</t>
        </is>
      </c>
      <c r="M149" s="17" t="inlineStr">
        <is>
          <t>low</t>
        </is>
      </c>
      <c r="N149" s="18" t="inlineStr">
        <is>
          <t>Tratar afiliados como receita marginal de confianca editorial, nunca como linha de receita planejavel do lancamento.</t>
        </is>
      </c>
    </row>
    <row r="150">
      <c r="A150" s="17" t="inlineStr">
        <is>
          <t>SA-02</t>
        </is>
      </c>
      <c r="B150" s="17" t="inlineStr">
        <is>
          <t>new_entrants</t>
        </is>
      </c>
      <c r="C150" s="17" t="inlineStr">
        <is>
          <t>ECO-06</t>
        </is>
      </c>
      <c r="D150" s="17" t="inlineStr">
        <is>
          <t>digital_product</t>
        </is>
      </c>
      <c r="E150" s="17" t="inlineStr">
        <is>
          <t>owned_web</t>
        </is>
      </c>
      <c r="F150" s="18" t="inlineStr">
        <is>
          <t>Nao ha analise de barreiras de entrada, concorrentes ou substitutos para a linha de livros no acervo lido.</t>
        </is>
      </c>
      <c r="G150" s="18" t="inlineStr">
        <is>
          <t>DOC-C09-011 traz apenas 'Linha | Papel | Estado' com os tres titulos em 'estruturar cadastro' e uma lista 'Para fechar'; nenhum documento de ECO-06 contem analise competitiva.</t>
        </is>
      </c>
      <c r="H150" s="17" t="inlineStr">
        <is>
          <t>DOC-C09-011;DOC-C09-010</t>
        </is>
      </c>
      <c r="I150" s="17" t="inlineStr">
        <is>
          <t>strong</t>
        </is>
      </c>
      <c r="J150" s="17" t="inlineStr">
        <is>
          <t>0.8</t>
        </is>
      </c>
      <c r="K150" s="17" t="inlineStr">
        <is>
          <t>gap</t>
        </is>
      </c>
      <c r="L150" s="17" t="inlineStr">
        <is>
          <t>medium</t>
        </is>
      </c>
      <c r="M150" s="17" t="inlineStr">
        <is>
          <t>medium</t>
        </is>
      </c>
      <c r="N150" s="18" t="inlineStr">
        <is>
          <t>Reaproveitar o benchmark de e-books de DOC-C05-001 como base e registrar explicitamente que ele nao cobre o livro autoral de Risco Cognitivo.</t>
        </is>
      </c>
    </row>
    <row r="151">
      <c r="A151" s="17" t="inlineStr">
        <is>
          <t>SA-03A</t>
        </is>
      </c>
      <c r="B151" s="17" t="inlineStr">
        <is>
          <t>market_structure</t>
        </is>
      </c>
      <c r="C151" s="17" t="inlineStr">
        <is>
          <t>ECO-05</t>
        </is>
      </c>
      <c r="D151" s="17" t="inlineStr">
        <is>
          <t>digital_product</t>
        </is>
      </c>
      <c r="E151" s="17" t="inlineStr">
        <is>
          <t>education_platform</t>
        </is>
      </c>
      <c r="F151" s="18" t="inlineStr">
        <is>
          <t>O acervo segmenta o setor em quatro categorias competitivas, uma delas sendo diretamente a dos infoprodutores.</t>
        </is>
      </c>
      <c r="G151" s="18" t="inlineStr">
        <is>
          <t>Dashboard QL-0017, tema Concorrencia, subtema Categorias: 'O setor e segmentado em midia/autoridade medica, infoprodutores, comercio eletronico de nicho e instituicoes/clinicas'; acao: 'Comparar proposta e canal por categoria competitiva'.</t>
        </is>
      </c>
      <c r="H151" s="17" t="inlineStr">
        <is>
          <t>DOC-C07-009</t>
        </is>
      </c>
      <c r="I151" s="17" t="inlineStr">
        <is>
          <t>moderate</t>
        </is>
      </c>
      <c r="J151" s="17" t="inlineStr">
        <is>
          <t>0.75</t>
        </is>
      </c>
      <c r="K151" s="17" t="inlineStr">
        <is>
          <t>fact</t>
        </is>
      </c>
      <c r="L151" s="17" t="inlineStr">
        <is>
          <t>medium</t>
        </is>
      </c>
      <c r="M151" s="17" t="inlineStr">
        <is>
          <t>medium</t>
        </is>
      </c>
      <c r="N151" s="18" t="inlineStr">
        <is>
          <t>Mapear dois concorrentes nomeados por categoria antes de fechar o copy de oferta do curso.</t>
        </is>
      </c>
    </row>
    <row r="152">
      <c r="A152" s="17" t="inlineStr">
        <is>
          <t>SA-03A</t>
        </is>
      </c>
      <c r="B152" s="17" t="inlineStr">
        <is>
          <t>market_structure</t>
        </is>
      </c>
      <c r="C152" s="17" t="inlineStr">
        <is>
          <t>ECO-04</t>
        </is>
      </c>
      <c r="D152" s="17" t="inlineStr">
        <is>
          <t>physical_product</t>
        </is>
      </c>
      <c r="E152" s="17" t="inlineStr">
        <is>
          <t>marketplace</t>
        </is>
      </c>
      <c r="F152" s="18" t="inlineStr">
        <is>
          <t>A categoria 'comercio eletronico de nicho' e nomeada na segmentacao do setor, mas nenhum documento dimensiona ou caracteriza o mercado de papelaria neuroadaptada.</t>
        </is>
      </c>
      <c r="G152" s="18" t="inlineStr">
        <is>
          <t>Dashboard QL-0017 nomeia 'comercio eletronico de nicho' entre as quatro categorias; nao ha, no acervo lido, nenhum estudo de mercado de papelaria, planners ou organizacao fisica.</t>
        </is>
      </c>
      <c r="H152" s="17" t="inlineStr">
        <is>
          <t>DOC-C07-009;DOC-C09-008</t>
        </is>
      </c>
      <c r="I152" s="17" t="inlineStr">
        <is>
          <t>moderate</t>
        </is>
      </c>
      <c r="J152" s="17" t="inlineStr">
        <is>
          <t>0.7</t>
        </is>
      </c>
      <c r="K152" s="17" t="inlineStr">
        <is>
          <t>gap</t>
        </is>
      </c>
      <c r="L152" s="17" t="inlineStr">
        <is>
          <t>medium</t>
        </is>
      </c>
      <c r="M152" s="17" t="inlineStr">
        <is>
          <t>medium</t>
        </is>
      </c>
      <c r="N152" s="18" t="inlineStr">
        <is>
          <t>Levantar 5 lojas de papelaria/planner neuro no Brasil com preco e sortimento antes de definir preco do Neurobook.</t>
        </is>
      </c>
    </row>
    <row r="153">
      <c r="A153" s="17" t="inlineStr">
        <is>
          <t>SA-03A</t>
        </is>
      </c>
      <c r="B153" s="17" t="inlineStr">
        <is>
          <t>market_structure</t>
        </is>
      </c>
      <c r="C153" s="17" t="inlineStr">
        <is>
          <t>ECO-08</t>
        </is>
      </c>
      <c r="D153" s="17" t="inlineStr">
        <is>
          <t>content_community</t>
        </is>
      </c>
      <c r="E153" s="17" t="inlineStr">
        <is>
          <t>social</t>
        </is>
      </c>
      <c r="F153" s="18" t="inlineStr">
        <is>
          <t>O acervo trata Risco Cognitivo como criacao de categoria editorial antes de mercado, o que inverte a logica usual de estrutura de mercado.</t>
        </is>
      </c>
      <c r="G153" s="18" t="inlineStr">
        <is>
          <t>BMC, Proposta de valor: 'Transformar Risco Cognitivo em uma categoria editorial e investigavel antes de conecta-la ao produto'; Problema: 'Apresentar o EXECUTAR cedo demais pode reduzir a credibilidade da investigacao'.</t>
        </is>
      </c>
      <c r="H153" s="17" t="inlineStr">
        <is>
          <t>DOC-C02-039;DOC-C02-042</t>
        </is>
      </c>
      <c r="I153" s="17" t="inlineStr">
        <is>
          <t>strong</t>
        </is>
      </c>
      <c r="J153" s="17" t="inlineStr">
        <is>
          <t>0.85</t>
        </is>
      </c>
      <c r="K153" s="17" t="inlineStr">
        <is>
          <t>fact</t>
        </is>
      </c>
      <c r="L153" s="17" t="inlineStr">
        <is>
          <t>high</t>
        </is>
      </c>
      <c r="M153" s="17" t="inlineStr">
        <is>
          <t>medium</t>
        </is>
      </c>
      <c r="N153" s="18" t="inlineStr">
        <is>
          <t>Manter a separacao entre a campanha de categoria e a campanha de oferta, com CTAs distintos e medicao separada.</t>
        </is>
      </c>
    </row>
    <row r="154">
      <c r="A154" s="17" t="inlineStr">
        <is>
          <t>SA-03B</t>
        </is>
      </c>
      <c r="B154" s="17" t="inlineStr">
        <is>
          <t>tam</t>
        </is>
      </c>
      <c r="C154" s="17" t="inlineStr">
        <is>
          <t>ECO-04</t>
        </is>
      </c>
      <c r="D154" s="17" t="inlineStr">
        <is>
          <t>physical_product</t>
        </is>
      </c>
      <c r="E154" s="17" t="n"/>
      <c r="F154" s="18" t="inlineStr">
        <is>
          <t>Nao existe TAM para esta unidade: o unico TAM do acervo (R$ 5,07 bi) e atribuido ao 'Projeto Neuroexecucao Aplicada' como um todo e tem base amostral nao informada.</t>
        </is>
      </c>
      <c r="G154" s="18" t="inlineStr">
        <is>
          <t>Dashboard QT-0131: indicador 'TAM estimado', grupo_segmento 'Projeto Neuroexecucao Aplicada', valor_pontual 5070000000.0, unidade R$, geografia Brasil, base_amostral 'Nao informada na imagem', fonte 'Documento Final Unificado: Sintese Estrategica de Neuroexecucao Aplicada'.</t>
        </is>
      </c>
      <c r="H154" s="17" t="inlineStr">
        <is>
          <t>DOC-C07-009</t>
        </is>
      </c>
      <c r="I154" s="17" t="inlineStr">
        <is>
          <t>weak</t>
        </is>
      </c>
      <c r="J154" s="17" t="inlineStr">
        <is>
          <t>0.8</t>
        </is>
      </c>
      <c r="K154" s="17" t="inlineStr">
        <is>
          <t>gap</t>
        </is>
      </c>
      <c r="L154" s="17" t="inlineStr">
        <is>
          <t>medium</t>
        </is>
      </c>
      <c r="M154" s="17" t="inlineStr">
        <is>
          <t>low</t>
        </is>
      </c>
      <c r="N154" s="18" t="inlineStr">
        <is>
          <t>Nao reutilizar o TAM agregado para dimensionar a linha de produto fisico; se um numero for necessario, construi-lo a partir de precos e volumes proprios com metodologia registrada.</t>
        </is>
      </c>
    </row>
    <row r="155">
      <c r="A155" s="17" t="inlineStr">
        <is>
          <t>SA-03B</t>
        </is>
      </c>
      <c r="B155" s="17" t="inlineStr">
        <is>
          <t>tam</t>
        </is>
      </c>
      <c r="C155" s="17" t="inlineStr">
        <is>
          <t>ECO-05</t>
        </is>
      </c>
      <c r="D155" s="17" t="inlineStr">
        <is>
          <t>digital_product</t>
        </is>
      </c>
      <c r="E155" s="17" t="n"/>
      <c r="F155" s="18" t="inlineStr">
        <is>
          <t>Nao existe TAM para esta unidade: o unico TAM do acervo (R$ 5,07 bi) e atribuido ao 'Projeto Neuroexecucao Aplicada' como um todo e tem base amostral nao informada.</t>
        </is>
      </c>
      <c r="G155" s="18" t="inlineStr">
        <is>
          <t>Dashboard QT-0131: indicador 'TAM estimado', grupo_segmento 'Projeto Neuroexecucao Aplicada', valor_pontual 5070000000.0, unidade R$, geografia Brasil, base_amostral 'Nao informada na imagem', fonte 'Documento Final Unificado: Sintese Estrategica de Neuroexecucao Aplicada'.</t>
        </is>
      </c>
      <c r="H155" s="17" t="inlineStr">
        <is>
          <t>DOC-C07-009</t>
        </is>
      </c>
      <c r="I155" s="17" t="inlineStr">
        <is>
          <t>weak</t>
        </is>
      </c>
      <c r="J155" s="17" t="inlineStr">
        <is>
          <t>0.8</t>
        </is>
      </c>
      <c r="K155" s="17" t="inlineStr">
        <is>
          <t>gap</t>
        </is>
      </c>
      <c r="L155" s="17" t="inlineStr">
        <is>
          <t>medium</t>
        </is>
      </c>
      <c r="M155" s="17" t="inlineStr">
        <is>
          <t>low</t>
        </is>
      </c>
      <c r="N155" s="18" t="inlineStr">
        <is>
          <t>Nao reutilizar o TAM agregado para dimensionar a linha de infoproduto; se um numero for necessario, construi-lo a partir de precos e volumes proprios com metodologia registrada.</t>
        </is>
      </c>
    </row>
    <row r="156">
      <c r="A156" s="17" t="inlineStr">
        <is>
          <t>SA-03B</t>
        </is>
      </c>
      <c r="B156" s="17" t="inlineStr">
        <is>
          <t>tam</t>
        </is>
      </c>
      <c r="C156" s="17" t="inlineStr">
        <is>
          <t>ECO-06</t>
        </is>
      </c>
      <c r="D156" s="17" t="inlineStr">
        <is>
          <t>digital_product</t>
        </is>
      </c>
      <c r="E156" s="17" t="n"/>
      <c r="F156" s="18" t="inlineStr">
        <is>
          <t>Nao existe TAM para esta unidade: o unico TAM do acervo (R$ 5,07 bi) e atribuido ao 'Projeto Neuroexecucao Aplicada' como um todo e tem base amostral nao informada.</t>
        </is>
      </c>
      <c r="G156" s="18" t="inlineStr">
        <is>
          <t>Dashboard QT-0131: indicador 'TAM estimado', grupo_segmento 'Projeto Neuroexecucao Aplicada', valor_pontual 5070000000.0, unidade R$, geografia Brasil, base_amostral 'Nao informada na imagem', fonte 'Documento Final Unificado: Sintese Estrategica de Neuroexecucao Aplicada'.</t>
        </is>
      </c>
      <c r="H156" s="17" t="inlineStr">
        <is>
          <t>DOC-C07-009</t>
        </is>
      </c>
      <c r="I156" s="17" t="inlineStr">
        <is>
          <t>weak</t>
        </is>
      </c>
      <c r="J156" s="17" t="inlineStr">
        <is>
          <t>0.8</t>
        </is>
      </c>
      <c r="K156" s="17" t="inlineStr">
        <is>
          <t>gap</t>
        </is>
      </c>
      <c r="L156" s="17" t="inlineStr">
        <is>
          <t>medium</t>
        </is>
      </c>
      <c r="M156" s="17" t="inlineStr">
        <is>
          <t>low</t>
        </is>
      </c>
      <c r="N156" s="18" t="inlineStr">
        <is>
          <t>Nao reutilizar o TAM agregado para dimensionar a linha de livro; se um numero for necessario, construi-lo a partir de precos e volumes proprios com metodologia registrada.</t>
        </is>
      </c>
    </row>
    <row r="157">
      <c r="A157" s="17" t="inlineStr">
        <is>
          <t>SA-03B</t>
        </is>
      </c>
      <c r="B157" s="17" t="inlineStr">
        <is>
          <t>tam</t>
        </is>
      </c>
      <c r="C157" s="17" t="inlineStr">
        <is>
          <t>ECO-08</t>
        </is>
      </c>
      <c r="D157" s="17" t="inlineStr">
        <is>
          <t>content_community</t>
        </is>
      </c>
      <c r="E157" s="17" t="n"/>
      <c r="F157" s="18" t="inlineStr">
        <is>
          <t>Nao existe TAM para esta unidade: o unico TAM do acervo (R$ 5,07 bi) e atribuido ao 'Projeto Neuroexecucao Aplicada' como um todo e tem base amostral nao informada.</t>
        </is>
      </c>
      <c r="G157" s="18" t="inlineStr">
        <is>
          <t>Dashboard QT-0131: indicador 'TAM estimado', grupo_segmento 'Projeto Neuroexecucao Aplicada', valor_pontual 5070000000.0, unidade R$, geografia Brasil, base_amostral 'Nao informada na imagem', fonte 'Documento Final Unificado: Sintese Estrategica de Neuroexecucao Aplicada'.</t>
        </is>
      </c>
      <c r="H157" s="17" t="inlineStr">
        <is>
          <t>DOC-C07-009</t>
        </is>
      </c>
      <c r="I157" s="17" t="inlineStr">
        <is>
          <t>weak</t>
        </is>
      </c>
      <c r="J157" s="17" t="inlineStr">
        <is>
          <t>0.8</t>
        </is>
      </c>
      <c r="K157" s="17" t="inlineStr">
        <is>
          <t>gap</t>
        </is>
      </c>
      <c r="L157" s="17" t="inlineStr">
        <is>
          <t>medium</t>
        </is>
      </c>
      <c r="M157" s="17" t="inlineStr">
        <is>
          <t>low</t>
        </is>
      </c>
      <c r="N157" s="18" t="inlineStr">
        <is>
          <t>Nao reutilizar o TAM agregado para dimensionar a linha de ecossistema creator; se um numero for necessario, construi-lo a partir de precos e volumes proprios com metodologia registrada.</t>
        </is>
      </c>
    </row>
    <row r="158">
      <c r="A158" s="17" t="inlineStr">
        <is>
          <t>SA-03C</t>
        </is>
      </c>
      <c r="B158" s="17" t="inlineStr">
        <is>
          <t>sam</t>
        </is>
      </c>
      <c r="C158" s="17" t="inlineStr">
        <is>
          <t>ECO-04</t>
        </is>
      </c>
      <c r="D158" s="17" t="inlineStr">
        <is>
          <t>physical_product</t>
        </is>
      </c>
      <c r="E158" s="17" t="n"/>
      <c r="F158" s="18" t="inlineStr">
        <is>
          <t>Nao existe SAM para a linha fisica; o SAM do acervo (R$ 357,3 mi) e do projeto agregado, alem de conflitar com um segundo valor de SAM (R$ 6,0 mi) no mesmo dashboard.</t>
        </is>
      </c>
      <c r="G158" s="18" t="inlineStr">
        <is>
          <t>Dashboard QT-0132: 'SAM estimado', grupo_segmento 'Projeto Neuroexecucao Aplicada', valor_pontual 357300000.0, base_amostral 'Nao informada na imagem'; ha ainda um registro com indicador 'SAM' e valor_pontual 6000000.0 no mesmo conjunto.</t>
        </is>
      </c>
      <c r="H158" s="17" t="inlineStr">
        <is>
          <t>DOC-C07-009</t>
        </is>
      </c>
      <c r="I158" s="17" t="inlineStr">
        <is>
          <t>weak</t>
        </is>
      </c>
      <c r="J158" s="17" t="inlineStr">
        <is>
          <t>0.75</t>
        </is>
      </c>
      <c r="K158" s="17" t="inlineStr">
        <is>
          <t>conflict</t>
        </is>
      </c>
      <c r="L158" s="17" t="inlineStr">
        <is>
          <t>medium</t>
        </is>
      </c>
      <c r="M158" s="17" t="inlineStr">
        <is>
          <t>low</t>
        </is>
      </c>
      <c r="N158" s="18" t="inlineStr">
        <is>
          <t>Nao usar nenhum dos dois SAM antes de identificar de qual imagem cada um veio e qual base amostral sustenta cada valor.</t>
        </is>
      </c>
    </row>
    <row r="159">
      <c r="A159" s="17" t="inlineStr">
        <is>
          <t>SA-03C</t>
        </is>
      </c>
      <c r="B159" s="17" t="inlineStr">
        <is>
          <t>sam</t>
        </is>
      </c>
      <c r="C159" s="17" t="inlineStr">
        <is>
          <t>ECO-05</t>
        </is>
      </c>
      <c r="D159" s="17" t="inlineStr">
        <is>
          <t>digital_product</t>
        </is>
      </c>
      <c r="E159" s="17" t="inlineStr">
        <is>
          <t>education_platform</t>
        </is>
      </c>
      <c r="F159" s="18" t="inlineStr">
        <is>
          <t>Nao existe SAM da linha de infoprodutos; o benchmark disponivel e de precos praticados por concorrentes, nao de tamanho de mercado.</t>
        </is>
      </c>
      <c r="G159" s="18" t="inlineStr">
        <is>
          <t>O unico dado de mercado com precos em DOC-C05-001 e a tabela de benchmark de e-books e cursos, sem volume, sem numero de compradores e sem fonte de mercado; os SAMs do dashboard sao do projeto agregado.</t>
        </is>
      </c>
      <c r="H159" s="17" t="inlineStr">
        <is>
          <t>DOC-C05-001;DOC-C07-009</t>
        </is>
      </c>
      <c r="I159" s="17" t="inlineStr">
        <is>
          <t>weak</t>
        </is>
      </c>
      <c r="J159" s="17" t="inlineStr">
        <is>
          <t>0.8</t>
        </is>
      </c>
      <c r="K159" s="17" t="inlineStr">
        <is>
          <t>gap</t>
        </is>
      </c>
      <c r="L159" s="17" t="inlineStr">
        <is>
          <t>medium</t>
        </is>
      </c>
      <c r="M159" s="17" t="inlineStr">
        <is>
          <t>low</t>
        </is>
      </c>
      <c r="N159" s="18" t="inlineStr">
        <is>
          <t>Derivar um SAM apenas depois do primeiro lote de vendas, usando conversao real da lista e trafego observado.</t>
        </is>
      </c>
    </row>
    <row r="160">
      <c r="A160" s="17" t="inlineStr">
        <is>
          <t>SA-03D</t>
        </is>
      </c>
      <c r="B160" s="17" t="inlineStr">
        <is>
          <t>som</t>
        </is>
      </c>
      <c r="C160" s="17" t="inlineStr">
        <is>
          <t>ECO-04</t>
        </is>
      </c>
      <c r="D160" s="17" t="inlineStr">
        <is>
          <t>physical_product</t>
        </is>
      </c>
      <c r="E160" s="17" t="inlineStr">
        <is>
          <t>owned_web</t>
        </is>
      </c>
      <c r="F160" s="18" t="inlineStr">
        <is>
          <t>Nao ha SOM da linha fisica; a estrategia declarada e justamente medir intencao antes de projetar volume.</t>
        </is>
      </c>
      <c r="G160" s="18" t="inlineStr">
        <is>
          <t>DOC-C09-008, Regra: 'Nao imobilizar estoque relevante antes de validar intencao'; DOC-C05-001, Estrategia de validacao: 'Fase 01 - Intencao | Estoque 0-1 amostra | Pagina completa do produto | Medir cliques, lista de espera, interesse'.</t>
        </is>
      </c>
      <c r="H160" s="17" t="inlineStr">
        <is>
          <t>DOC-C09-008;DOC-C05-001</t>
        </is>
      </c>
      <c r="I160" s="17" t="inlineStr">
        <is>
          <t>strong</t>
        </is>
      </c>
      <c r="J160" s="17" t="inlineStr">
        <is>
          <t>0.85</t>
        </is>
      </c>
      <c r="K160" s="17" t="inlineStr">
        <is>
          <t>gap</t>
        </is>
      </c>
      <c r="L160" s="17" t="inlineStr">
        <is>
          <t>medium</t>
        </is>
      </c>
      <c r="M160" s="17" t="inlineStr">
        <is>
          <t>medium</t>
        </is>
      </c>
      <c r="N160" s="18" t="inlineStr">
        <is>
          <t>Instrumentar a pagina de produto e a lista de interesse no lancamento; o SOM so pode nascer dessa medicao.</t>
        </is>
      </c>
    </row>
    <row r="161">
      <c r="A161" s="17" t="inlineStr">
        <is>
          <t>SA-03D</t>
        </is>
      </c>
      <c r="B161" s="17" t="inlineStr">
        <is>
          <t>som</t>
        </is>
      </c>
      <c r="C161" s="17" t="inlineStr">
        <is>
          <t>ECO-05</t>
        </is>
      </c>
      <c r="D161" s="17" t="inlineStr">
        <is>
          <t>digital_product</t>
        </is>
      </c>
      <c r="E161" s="17" t="inlineStr">
        <is>
          <t>education_platform</t>
        </is>
      </c>
      <c r="F161" s="18" t="inlineStr">
        <is>
          <t>Nao ha SOM de infoprodutos; o SOM de tres anos do acervo (R$ 3,26 mi) e do projeto agregado, com base amostral nao informada.</t>
        </is>
      </c>
      <c r="G161" s="18" t="inlineStr">
        <is>
          <t>Dashboard QT-0133: 'SOM projetado para tres anos', grupo_segmento 'Projeto Neuroexecucao Aplicada', valor_pontual 3260000.0, periodo '3 anos', base_amostral 'Nao informada na imagem'.</t>
        </is>
      </c>
      <c r="H161" s="17" t="inlineStr">
        <is>
          <t>DOC-C07-009</t>
        </is>
      </c>
      <c r="I161" s="17" t="inlineStr">
        <is>
          <t>weak</t>
        </is>
      </c>
      <c r="J161" s="17" t="inlineStr">
        <is>
          <t>0.8</t>
        </is>
      </c>
      <c r="K161" s="17" t="inlineStr">
        <is>
          <t>gap</t>
        </is>
      </c>
      <c r="L161" s="17" t="inlineStr">
        <is>
          <t>medium</t>
        </is>
      </c>
      <c r="M161" s="17" t="inlineStr">
        <is>
          <t>low</t>
        </is>
      </c>
      <c r="N161" s="18" t="inlineStr">
        <is>
          <t>Substituir o SOM herdado por uma projecao propria a partir de conversao da lista x preco de lancamento, registrada com metodologia.</t>
        </is>
      </c>
    </row>
    <row r="162">
      <c r="A162" s="17" t="inlineStr">
        <is>
          <t>SA-04A</t>
        </is>
      </c>
      <c r="B162" s="17" t="inlineStr">
        <is>
          <t>segmentation</t>
        </is>
      </c>
      <c r="C162" s="17" t="inlineStr">
        <is>
          <t>ECO-06</t>
        </is>
      </c>
      <c r="D162" s="17" t="inlineStr">
        <is>
          <t>digital_product</t>
        </is>
      </c>
      <c r="E162" s="17" t="inlineStr">
        <is>
          <t>owned_web</t>
        </is>
      </c>
      <c r="F162" s="18" t="inlineStr">
        <is>
          <t>A referencia visual da biblioteca declara cinco segmentos de catalogo: Adultos, Familias, Kids, Trabalho e Automacoes.</t>
        </is>
      </c>
      <c r="G162" s="18" t="inlineStr">
        <is>
          <t>Referencia visual da biblioteca (mockup 'BIBLIOTECA EXECUTAR / E-BOOKS &amp; CONTEUDOS'): filtros 'Todos | Adultos | Familias | Kids | Trabalho | Automacoes'; capas rotuladas 'Adultos', 'Kids', 'Adultos', 'Familias', 'Automacoes'.</t>
        </is>
      </c>
      <c r="H162" s="17" t="inlineStr">
        <is>
          <t>DOC-C13-005</t>
        </is>
      </c>
      <c r="I162" s="17" t="inlineStr">
        <is>
          <t>moderate</t>
        </is>
      </c>
      <c r="J162" s="17" t="inlineStr">
        <is>
          <t>0.75</t>
        </is>
      </c>
      <c r="K162" s="17" t="inlineStr">
        <is>
          <t>fact</t>
        </is>
      </c>
      <c r="L162" s="17" t="inlineStr">
        <is>
          <t>medium</t>
        </is>
      </c>
      <c r="M162" s="17" t="inlineStr">
        <is>
          <t>medium</t>
        </is>
      </c>
      <c r="N162" s="18" t="inlineStr">
        <is>
          <t>Decidir se Kids/Familias/Automacoes entram no lancamento ou saem da vitrine; hoje a peca visual promete um catalogo que o plano textual nao tem.</t>
        </is>
      </c>
    </row>
    <row r="163">
      <c r="A163" s="17" t="inlineStr">
        <is>
          <t>SA-04A</t>
        </is>
      </c>
      <c r="B163" s="17" t="inlineStr">
        <is>
          <t>segmentation</t>
        </is>
      </c>
      <c r="C163" s="17" t="inlineStr">
        <is>
          <t>ECO-04</t>
        </is>
      </c>
      <c r="D163" s="17" t="inlineStr">
        <is>
          <t>physical_product</t>
        </is>
      </c>
      <c r="E163" s="17" t="inlineStr">
        <is>
          <t>owned_web</t>
        </is>
      </c>
      <c r="F163" s="18" t="inlineStr">
        <is>
          <t>A unica segmentacao explicita da linha fisica e de genero, e vem de uma peca visual, nao de documento de oferta.</t>
        </is>
      </c>
      <c r="G163" s="18" t="inlineStr">
        <is>
          <t>Referencia visual de organizacao fisica: mockup 'executar.com/kit-semanal-masculino' com titulo 'Kit Semanal Masculino', 'Organizar - Usar - Lavar' e sacos SEG a DOM; DOC-C09-008 descreve o item apenas como 'Kit de organizacao fisica | rotina por dias'.</t>
        </is>
      </c>
      <c r="H163" s="17" t="inlineStr">
        <is>
          <t>DOC-C13-009;DOC-C09-008</t>
        </is>
      </c>
      <c r="I163" s="17" t="inlineStr">
        <is>
          <t>moderate</t>
        </is>
      </c>
      <c r="J163" s="17" t="inlineStr">
        <is>
          <t>0.7</t>
        </is>
      </c>
      <c r="K163" s="17" t="inlineStr">
        <is>
          <t>conflict</t>
        </is>
      </c>
      <c r="L163" s="17" t="inlineStr">
        <is>
          <t>medium</t>
        </is>
      </c>
      <c r="M163" s="17" t="inlineStr">
        <is>
          <t>medium</t>
        </is>
      </c>
      <c r="N163" s="18" t="inlineStr">
        <is>
          <t>Decidir se o kit de organizacao e neutro (rotina por dias) ou segmentado por genero; hoje a peca e o documento divergem.</t>
        </is>
      </c>
    </row>
    <row r="164">
      <c r="A164" s="17" t="inlineStr">
        <is>
          <t>SA-04A</t>
        </is>
      </c>
      <c r="B164" s="17" t="inlineStr">
        <is>
          <t>segmentation</t>
        </is>
      </c>
      <c r="C164" s="17" t="inlineStr">
        <is>
          <t>ECO-08</t>
        </is>
      </c>
      <c r="D164" s="17" t="inlineStr">
        <is>
          <t>content_community</t>
        </is>
      </c>
      <c r="E164" s="17" t="inlineStr">
        <is>
          <t>owned_web</t>
        </is>
      </c>
      <c r="F164" s="18" t="inlineStr">
        <is>
          <t>A audiencia-alvo do ecossistema editorial esta definida por interesse tematico, com especialistas em papel de critica e nao de endosso.</t>
        </is>
      </c>
      <c r="G164" s="18" t="inlineStr">
        <is>
          <t>BMC, Publico/validacao: 'Leitores interessados em funcoes executivas, neurodivergencia, trabalho, projetos e risco; especialistas entram como critica externa, nao como endosso'.</t>
        </is>
      </c>
      <c r="H164" s="17" t="inlineStr">
        <is>
          <t>DOC-C02-039</t>
        </is>
      </c>
      <c r="I164" s="17" t="inlineStr">
        <is>
          <t>strong</t>
        </is>
      </c>
      <c r="J164" s="17" t="inlineStr">
        <is>
          <t>0.85</t>
        </is>
      </c>
      <c r="K164" s="17" t="inlineStr">
        <is>
          <t>fact</t>
        </is>
      </c>
      <c r="L164" s="17" t="inlineStr">
        <is>
          <t>high</t>
        </is>
      </c>
      <c r="M164" s="17" t="inlineStr">
        <is>
          <t>medium</t>
        </is>
      </c>
      <c r="N164" s="18" t="inlineStr">
        <is>
          <t>Manter dois funis separados: leitores (lista/newsletter) e especialistas (critica ao framework), com abordagens e metricas distintas.</t>
        </is>
      </c>
    </row>
    <row r="165">
      <c r="A165" s="17" t="inlineStr">
        <is>
          <t>SA-04B</t>
        </is>
      </c>
      <c r="B165" s="17" t="inlineStr">
        <is>
          <t>icp</t>
        </is>
      </c>
      <c r="C165" s="17" t="inlineStr">
        <is>
          <t>ECO-04</t>
        </is>
      </c>
      <c r="D165" s="17" t="inlineStr">
        <is>
          <t>physical_product</t>
        </is>
      </c>
      <c r="E165" s="17" t="n"/>
      <c r="F165" s="18" t="inlineStr">
        <is>
          <t>Nao existe ICP proprio da linha fisica; o unico perfil detalhado do acervo e o do usuario do aplicativo e nao pode ser herdado.</t>
        </is>
      </c>
      <c r="G165" s="18" t="inlineStr">
        <is>
          <t>O perfil detalhado em DOC-C05-001 ('Homens, adultos, neurodivergentes, autonomos, na faixa dos 25-35 anos, recem-diagnosticados...') esta na secao Publico do Master Index do produto de software; DOC-C09-008 nao define comprador.</t>
        </is>
      </c>
      <c r="H165" s="17" t="inlineStr">
        <is>
          <t>DOC-C05-001;DOC-C09-008</t>
        </is>
      </c>
      <c r="I165" s="17" t="inlineStr">
        <is>
          <t>moderate</t>
        </is>
      </c>
      <c r="J165" s="17" t="inlineStr">
        <is>
          <t>0.8</t>
        </is>
      </c>
      <c r="K165" s="17" t="inlineStr">
        <is>
          <t>gap</t>
        </is>
      </c>
      <c r="L165" s="17" t="inlineStr">
        <is>
          <t>high</t>
        </is>
      </c>
      <c r="M165" s="17" t="inlineStr">
        <is>
          <t>high</t>
        </is>
      </c>
      <c r="N165" s="18" t="inlineStr">
        <is>
          <t>Definir o comprador do kit fisico separadamente do usuario do app: quem compra papelaria, com que gatilho e a que preco.</t>
        </is>
      </c>
    </row>
    <row r="166">
      <c r="A166" s="17" t="inlineStr">
        <is>
          <t>SA-04B</t>
        </is>
      </c>
      <c r="B166" s="17" t="inlineStr">
        <is>
          <t>icp</t>
        </is>
      </c>
      <c r="C166" s="17" t="inlineStr">
        <is>
          <t>ECO-05</t>
        </is>
      </c>
      <c r="D166" s="17" t="inlineStr">
        <is>
          <t>digital_product</t>
        </is>
      </c>
      <c r="E166" s="17" t="inlineStr">
        <is>
          <t>education_platform</t>
        </is>
      </c>
      <c r="F166" s="18" t="inlineStr">
        <is>
          <t>Nao existe ICP proprio do infoproduto; o curso e definido por estrutura (4 modulos) e nao por comprador.</t>
        </is>
      </c>
      <c r="G166" s="18" t="inlineStr">
        <is>
          <t>DOC-C09-013 traz apenas 'Estrutura: 4 modulos: Entender, Estruturar, Executar, Evoluir' e a lista 'Para fechar no lancamento: descricao e promessa; estrutura dos modulos; condicao de lancamento; pagina/cadastro; chamada CH-005'.</t>
        </is>
      </c>
      <c r="H166" s="17" t="inlineStr">
        <is>
          <t>DOC-C09-013;DOC-C09-016</t>
        </is>
      </c>
      <c r="I166" s="17" t="inlineStr">
        <is>
          <t>strong</t>
        </is>
      </c>
      <c r="J166" s="17" t="inlineStr">
        <is>
          <t>0.8</t>
        </is>
      </c>
      <c r="K166" s="17" t="inlineStr">
        <is>
          <t>gap</t>
        </is>
      </c>
      <c r="L166" s="17" t="inlineStr">
        <is>
          <t>high</t>
        </is>
      </c>
      <c r="M166" s="17" t="inlineStr">
        <is>
          <t>high</t>
        </is>
      </c>
      <c r="N166" s="18" t="inlineStr">
        <is>
          <t>Escrever a descricao e promessa do curso a partir de um comprador nomeado; hoje a promessa e um item aberto da checklist.</t>
        </is>
      </c>
    </row>
    <row r="167">
      <c r="A167" s="17" t="inlineStr">
        <is>
          <t>SA-04B</t>
        </is>
      </c>
      <c r="B167" s="17" t="inlineStr">
        <is>
          <t>icp</t>
        </is>
      </c>
      <c r="C167" s="17" t="inlineStr">
        <is>
          <t>ECO-08</t>
        </is>
      </c>
      <c r="D167" s="17" t="inlineStr">
        <is>
          <t>content_community</t>
        </is>
      </c>
      <c r="E167" s="17" t="inlineStr">
        <is>
          <t>social</t>
        </is>
      </c>
      <c r="F167" s="18" t="inlineStr">
        <is>
          <t>O acervo registra como lacuna a ausencia de confirmacao de disposicao a pagar do publico-alvo para minicurso e kit fisico.</t>
        </is>
      </c>
      <c r="G167" s="18" t="inlineStr">
        <is>
          <t>Dashboard QL-000059, subtema 'Lacuna de disposicao de pagamento': 'O documento identifica como lacuna a ausencia de confirmacao sobre a disposicao real do publico-alvo em pagar pela solucao proposta (minicurso e kit fisico), apontando isso como algo a validar antes de escalar'; acao: 'Desenhar experimento especifico de venda/pre-venda antes de investir'.</t>
        </is>
      </c>
      <c r="H167" s="17" t="inlineStr">
        <is>
          <t>DOC-C07-009</t>
        </is>
      </c>
      <c r="I167" s="17" t="inlineStr">
        <is>
          <t>strong</t>
        </is>
      </c>
      <c r="J167" s="17" t="inlineStr">
        <is>
          <t>0.85</t>
        </is>
      </c>
      <c r="K167" s="17" t="inlineStr">
        <is>
          <t>gap</t>
        </is>
      </c>
      <c r="L167" s="17" t="inlineStr">
        <is>
          <t>high</t>
        </is>
      </c>
      <c r="M167" s="17" t="inlineStr">
        <is>
          <t>high</t>
        </is>
      </c>
      <c r="N167" s="18" t="inlineStr">
        <is>
          <t>Transformar o lancamento de 07/09 em experimento de disposicao a pagar com pre-venda medida, e nao apenas em publicacao.</t>
        </is>
      </c>
    </row>
    <row r="168">
      <c r="A168" s="17" t="inlineStr">
        <is>
          <t>SA-04C</t>
        </is>
      </c>
      <c r="B168" s="17" t="inlineStr">
        <is>
          <t>jtbd</t>
        </is>
      </c>
      <c r="C168" s="17" t="inlineStr">
        <is>
          <t>ECO-04</t>
        </is>
      </c>
      <c r="D168" s="17" t="inlineStr">
        <is>
          <t>physical_product</t>
        </is>
      </c>
      <c r="E168" s="17" t="inlineStr">
        <is>
          <t>owned_web</t>
        </is>
      </c>
      <c r="F168" s="18" t="inlineStr">
        <is>
          <t>Cada SKU fisico tem uma funcao declarada dentro de um sistema, o que da a linha uma taxonomia de jobs em vez de um catalogo de objetos.</t>
        </is>
      </c>
      <c r="G168" s="18" t="inlineStr">
        <is>
          <t>Ecossistema: 'Neurobook = planejar e registrar, Timer = executar, Organizacao = reduzir decisoes cotidianas, Office Kit = sistema integrado'; e 'nao vender uma colecao de objetos, mas mostrar que cada objeto ocupa uma funcao dentro de um sistema'.</t>
        </is>
      </c>
      <c r="H168" s="17" t="inlineStr">
        <is>
          <t>DOC-C05-001;DOC-C09-008</t>
        </is>
      </c>
      <c r="I168" s="17" t="inlineStr">
        <is>
          <t>strong</t>
        </is>
      </c>
      <c r="J168" s="17" t="inlineStr">
        <is>
          <t>0.85</t>
        </is>
      </c>
      <c r="K168" s="17" t="inlineStr">
        <is>
          <t>fact</t>
        </is>
      </c>
      <c r="L168" s="17" t="inlineStr">
        <is>
          <t>high</t>
        </is>
      </c>
      <c r="M168" s="17" t="inlineStr">
        <is>
          <t>medium</t>
        </is>
      </c>
      <c r="N168" s="18" t="inlineStr">
        <is>
          <t>Usar essa frase de quatro funcoes como estrutura literal da pagina de produto e do card de cada SKU.</t>
        </is>
      </c>
    </row>
    <row r="169">
      <c r="A169" s="17" t="inlineStr">
        <is>
          <t>SA-04C</t>
        </is>
      </c>
      <c r="B169" s="17" t="inlineStr">
        <is>
          <t>jtbd</t>
        </is>
      </c>
      <c r="C169" s="17" t="inlineStr">
        <is>
          <t>ECO-05</t>
        </is>
      </c>
      <c r="D169" s="17" t="inlineStr">
        <is>
          <t>digital_product</t>
        </is>
      </c>
      <c r="E169" s="17" t="inlineStr">
        <is>
          <t>education_platform</t>
        </is>
      </c>
      <c r="F169" s="18" t="inlineStr">
        <is>
          <t>O 4E organiza os jobs do infoproduto como quatro perguntas do usuario, o que da criterio para decidir o que entra em cada modulo.</t>
        </is>
      </c>
      <c r="G169" s="18" t="inlineStr">
        <is>
          <t>Ecossistema, Espinha editorial 4E: 'E1 ENTENDER - O que esta acontecendo e por que? | E2 ESTRUTURAR - O que preciso mudar no ambiente ou sistema? | E3 EXECUTAR - O que faco concretamente agora? | E4 EVOLUIR - Como sei se funcionou e o que ajusto?'.</t>
        </is>
      </c>
      <c r="H169" s="17" t="inlineStr">
        <is>
          <t>DOC-C05-001;DOC-C09-016</t>
        </is>
      </c>
      <c r="I169" s="17" t="inlineStr">
        <is>
          <t>strong</t>
        </is>
      </c>
      <c r="J169" s="17" t="inlineStr">
        <is>
          <t>0.9</t>
        </is>
      </c>
      <c r="K169" s="17" t="inlineStr">
        <is>
          <t>fact</t>
        </is>
      </c>
      <c r="L169" s="17" t="inlineStr">
        <is>
          <t>high</t>
        </is>
      </c>
      <c r="M169" s="17" t="inlineStr">
        <is>
          <t>medium</t>
        </is>
      </c>
      <c r="N169" s="18" t="inlineStr">
        <is>
          <t>Validar cada aula e capitulo contra a pergunta do seu E; o que nao responde a pergunta sai do escopo de lancamento.</t>
        </is>
      </c>
    </row>
    <row r="170">
      <c r="A170" s="17" t="inlineStr">
        <is>
          <t>SA-04C</t>
        </is>
      </c>
      <c r="B170" s="17" t="inlineStr">
        <is>
          <t>jtbd</t>
        </is>
      </c>
      <c r="C170" s="17" t="inlineStr">
        <is>
          <t>ECO-06</t>
        </is>
      </c>
      <c r="D170" s="17" t="inlineStr">
        <is>
          <t>digital_product</t>
        </is>
      </c>
      <c r="E170" s="17" t="inlineStr">
        <is>
          <t>owned_web</t>
        </is>
      </c>
      <c r="F170" s="18" t="inlineStr">
        <is>
          <t>O livro digital de entrada declara uma promessa editorial em quatro movimentos que funciona como job to be done do leitor.</t>
        </is>
      </c>
      <c r="G170" s="18" t="inlineStr">
        <is>
          <t>Ecossistema, I1 Aplicando o TDAH Adulto: 'Promessa editorial: Entendi o problema, montei uma estrutura, apliquei, aprendi o que funciona para mim.'</t>
        </is>
      </c>
      <c r="H170" s="17" t="inlineStr">
        <is>
          <t>DOC-C05-001;DOC-C09-011</t>
        </is>
      </c>
      <c r="I170" s="17" t="inlineStr">
        <is>
          <t>strong</t>
        </is>
      </c>
      <c r="J170" s="17" t="inlineStr">
        <is>
          <t>0.85</t>
        </is>
      </c>
      <c r="K170" s="17" t="inlineStr">
        <is>
          <t>fact</t>
        </is>
      </c>
      <c r="L170" s="17" t="inlineStr">
        <is>
          <t>medium</t>
        </is>
      </c>
      <c r="M170" s="17" t="inlineStr">
        <is>
          <t>medium</t>
        </is>
      </c>
      <c r="N170" s="18" t="inlineStr">
        <is>
          <t>Usar essa promessa como texto de contracapa e como criterio de corte do sumario do livro de entrada.</t>
        </is>
      </c>
    </row>
    <row r="171">
      <c r="A171" s="17" t="inlineStr">
        <is>
          <t>SA-04C</t>
        </is>
      </c>
      <c r="B171" s="17" t="inlineStr">
        <is>
          <t>jtbd</t>
        </is>
      </c>
      <c r="C171" s="17" t="inlineStr">
        <is>
          <t>ECO-08</t>
        </is>
      </c>
      <c r="D171" s="17" t="inlineStr">
        <is>
          <t>content_community</t>
        </is>
      </c>
      <c r="E171" s="17" t="inlineStr">
        <is>
          <t>social</t>
        </is>
      </c>
      <c r="F171" s="18" t="inlineStr">
        <is>
          <t>A CTA de cada peca e determinada pelo nivel de consciencia do leitor, com regras explicitas do que nao empurrar.</t>
        </is>
      </c>
      <c r="G171" s="18" t="inlineStr">
        <is>
          <t>Ecossistema, 'CTA por nivel de consciencia': 'Baixa - nao empurre Produto - CTA Entenda o que esta acontecendo | Problema - nao empurre Servico - Veja como isso funciona na pratica | Solucao - nao empurre Venda agressiva - Baixar o guia / ver o tutorial | Metodo - Aplicar com o e-book / curso | Alta intencao - Experimentar Executar / conhecer Studio'.</t>
        </is>
      </c>
      <c r="H171" s="17" t="inlineStr">
        <is>
          <t>DOC-C05-001</t>
        </is>
      </c>
      <c r="I171" s="17" t="inlineStr">
        <is>
          <t>strong</t>
        </is>
      </c>
      <c r="J171" s="17" t="inlineStr">
        <is>
          <t>0.85</t>
        </is>
      </c>
      <c r="K171" s="17" t="inlineStr">
        <is>
          <t>fact</t>
        </is>
      </c>
      <c r="L171" s="17" t="inlineStr">
        <is>
          <t>high</t>
        </is>
      </c>
      <c r="M171" s="17" t="inlineStr">
        <is>
          <t>high</t>
        </is>
      </c>
      <c r="N171" s="18" t="inlineStr">
        <is>
          <t>Vincular cada chamada do registro CH-001 a CH-010 a um nivel de consciencia antes de publicar as pecas editoriais.</t>
        </is>
      </c>
    </row>
    <row r="172">
      <c r="A172" s="17" t="inlineStr">
        <is>
          <t>SA-04D</t>
        </is>
      </c>
      <c r="B172" s="17" t="inlineStr">
        <is>
          <t>voice_of_customer</t>
        </is>
      </c>
      <c r="C172" s="17" t="inlineStr">
        <is>
          <t>ECO-04</t>
        </is>
      </c>
      <c r="D172" s="17" t="inlineStr">
        <is>
          <t>physical_product</t>
        </is>
      </c>
      <c r="E172" s="17" t="n"/>
      <c r="F172" s="18" t="inlineStr">
        <is>
          <t>Nao existe nenhuma fala, entrevista ou pesquisa de cliente sobre produtos fisicos no acervo lido.</t>
        </is>
      </c>
      <c r="G172" s="18" t="inlineStr">
        <is>
          <t>As unicas falas em primeira pessoa do acervo estao no Master Index do aplicativo em DOC-C05-001 e tratam de uso de app, nao de papelaria; DOC-C09-008 e DOC-C13-004 nao contem voz de cliente.</t>
        </is>
      </c>
      <c r="H172" s="17" t="inlineStr">
        <is>
          <t>DOC-C05-001;DOC-C09-008;DOC-C13-004</t>
        </is>
      </c>
      <c r="I172" s="17" t="inlineStr">
        <is>
          <t>strong</t>
        </is>
      </c>
      <c r="J172" s="17" t="inlineStr">
        <is>
          <t>0.8</t>
        </is>
      </c>
      <c r="K172" s="17" t="inlineStr">
        <is>
          <t>gap</t>
        </is>
      </c>
      <c r="L172" s="17" t="inlineStr">
        <is>
          <t>high</t>
        </is>
      </c>
      <c r="M172" s="17" t="inlineStr">
        <is>
          <t>high</t>
        </is>
      </c>
      <c r="N172" s="18" t="inlineStr">
        <is>
          <t>Coletar 5 a 10 respostas de intencao na propria lista de interesse do Office Kit antes de comprar micro lote.</t>
        </is>
      </c>
    </row>
    <row r="173">
      <c r="A173" s="17" t="inlineStr">
        <is>
          <t>SA-04D</t>
        </is>
      </c>
      <c r="B173" s="17" t="inlineStr">
        <is>
          <t>voice_of_customer</t>
        </is>
      </c>
      <c r="C173" s="17" t="inlineStr">
        <is>
          <t>ECO-05</t>
        </is>
      </c>
      <c r="D173" s="17" t="inlineStr">
        <is>
          <t>digital_product</t>
        </is>
      </c>
      <c r="E173" s="17" t="n"/>
      <c r="F173" s="18" t="inlineStr">
        <is>
          <t>Nao existe voz de cliente sobre infoprodutos; as decisoes de formato e preco vieram de benchmark de mercado e de literatura de aprendizagem.</t>
        </is>
      </c>
      <c r="G173" s="18" t="inlineStr">
        <is>
          <t>DOC-C05-001 sustenta o desenho do e-book em 'pesquisa de aprendizagem multimidia', 'retrieval practice' e 'acessibilidade cognitiva do W3C', e o preco em benchmark de ofertas concorrentes; nenhuma fala de comprador aparece.</t>
        </is>
      </c>
      <c r="H173" s="17" t="inlineStr">
        <is>
          <t>DOC-C05-001</t>
        </is>
      </c>
      <c r="I173" s="17" t="inlineStr">
        <is>
          <t>moderate</t>
        </is>
      </c>
      <c r="J173" s="17" t="inlineStr">
        <is>
          <t>0.75</t>
        </is>
      </c>
      <c r="K173" s="17" t="inlineStr">
        <is>
          <t>gap</t>
        </is>
      </c>
      <c r="L173" s="17" t="inlineStr">
        <is>
          <t>medium</t>
        </is>
      </c>
      <c r="M173" s="17" t="inlineStr">
        <is>
          <t>medium</t>
        </is>
      </c>
      <c r="N173" s="18" t="inlineStr">
        <is>
          <t>Rodar um teste de mensagem com a lista antes do lancamento: qual dos tres titulos as pessoas escolheriam primeiro e por que.</t>
        </is>
      </c>
    </row>
    <row r="174">
      <c r="A174" s="17" t="inlineStr">
        <is>
          <t>SA-04D</t>
        </is>
      </c>
      <c r="B174" s="17" t="inlineStr">
        <is>
          <t>voice_of_customer</t>
        </is>
      </c>
      <c r="C174" s="17" t="inlineStr">
        <is>
          <t>ECO-08</t>
        </is>
      </c>
      <c r="D174" s="17" t="inlineStr">
        <is>
          <t>content_community</t>
        </is>
      </c>
      <c r="E174" s="17" t="inlineStr">
        <is>
          <t>partner</t>
        </is>
      </c>
      <c r="F174" s="18" t="inlineStr">
        <is>
          <t>A unica lista estruturada de interlocutores externos e de especialistas para critica do framework, nao de clientes.</t>
        </is>
      </c>
      <c r="G174" s="18" t="inlineStr">
        <is>
          <t>RISCO_COGNITIVO_CONTACTS.csv, 10 registros RC-CON-001 a RC-CON-010 com colunas NOME, AREA, POR_QUE_RELEVANTE, CONTATO_PUBLICO, ABORDAGEM_RECOMENDADA; ex.: RC-CON-001 'Russell A. Barkley, PhD' com 'Pedir orientacao bibliografica/criticar a conexao EF a risco de execucao, sem pedir validacao clinica'.</t>
        </is>
      </c>
      <c r="H174" s="17" t="inlineStr">
        <is>
          <t>DOC-C02-029</t>
        </is>
      </c>
      <c r="I174" s="17" t="inlineStr">
        <is>
          <t>strong</t>
        </is>
      </c>
      <c r="J174" s="17" t="inlineStr">
        <is>
          <t>0.9</t>
        </is>
      </c>
      <c r="K174" s="17" t="inlineStr">
        <is>
          <t>fact</t>
        </is>
      </c>
      <c r="L174" s="17" t="inlineStr">
        <is>
          <t>medium</t>
        </is>
      </c>
      <c r="M174" s="17" t="inlineStr">
        <is>
          <t>medium</t>
        </is>
      </c>
      <c r="N174" s="18" t="inlineStr">
        <is>
          <t>Manter a lista como canal de credibilidade e nao de aquisicao; a voz do cliente precisa de outro instrumento.</t>
        </is>
      </c>
    </row>
    <row r="175">
      <c r="A175" s="17" t="inlineStr">
        <is>
          <t>SA-04D</t>
        </is>
      </c>
      <c r="B175" s="17" t="inlineStr">
        <is>
          <t>voice_of_customer</t>
        </is>
      </c>
      <c r="C175" s="17" t="inlineStr">
        <is>
          <t>ECO-08</t>
        </is>
      </c>
      <c r="D175" s="17" t="inlineStr">
        <is>
          <t>content_community</t>
        </is>
      </c>
      <c r="E175" s="17" t="inlineStr">
        <is>
          <t>partner</t>
        </is>
      </c>
      <c r="F175" s="18" t="inlineStr">
        <is>
          <t>A abordagem aos especialistas esta desenhada para falsificar a tese e nao para obter endosso, o que protege a credibilidade do ativo editorial.</t>
        </is>
      </c>
      <c r="G175" s="18" t="inlineStr">
        <is>
          <t>texto 2.txt, Execute: 'A abordagem aos pesquisadores nao deve ser valide minha teoria, mas estou mapeando a intersecao entre funcoes executivas, demandas cognitivas e project risk; onde esta formulacao ja existe, onde estou extrapolando e quais literaturas estou deixando de considerar'.</t>
        </is>
      </c>
      <c r="H175" s="17" t="inlineStr">
        <is>
          <t>DOC-C02-042;DOC-C02-029</t>
        </is>
      </c>
      <c r="I175" s="17" t="inlineStr">
        <is>
          <t>strong</t>
        </is>
      </c>
      <c r="J175" s="17" t="inlineStr">
        <is>
          <t>0.9</t>
        </is>
      </c>
      <c r="K175" s="17" t="inlineStr">
        <is>
          <t>fact</t>
        </is>
      </c>
      <c r="L175" s="17" t="inlineStr">
        <is>
          <t>medium</t>
        </is>
      </c>
      <c r="M175" s="17" t="inlineStr">
        <is>
          <t>low</t>
        </is>
      </c>
      <c r="N175" s="18" t="inlineStr">
        <is>
          <t>Padronizar esse texto como template de contato e registrar cada resposta como evidencia datada.</t>
        </is>
      </c>
    </row>
    <row r="176">
      <c r="A176" s="17" t="inlineStr">
        <is>
          <t>SA-05</t>
        </is>
      </c>
      <c r="B176" s="17" t="inlineStr">
        <is>
          <t>competitive_landscape</t>
        </is>
      </c>
      <c r="C176" s="17" t="inlineStr">
        <is>
          <t>ECO-04</t>
        </is>
      </c>
      <c r="D176" s="17" t="inlineStr">
        <is>
          <t>physical_product</t>
        </is>
      </c>
      <c r="E176" s="17" t="inlineStr">
        <is>
          <t>marketplace</t>
        </is>
      </c>
      <c r="F176" s="18" t="inlineStr">
        <is>
          <t>A concorrencia da linha fisica esta documentada apenas para o Timer, por captura de busca com tres ofertas patrocinadas e um resultado de marketplace.</t>
        </is>
      </c>
      <c r="G176" s="18" t="inlineStr">
        <is>
          <t>Referencia visual Timer 45: 'Sponsored products' com R$97,90 (Mercado Livre), R$95,70 (Amazon.com.br), R$28,46 (AliExpress) e 'Sponsored result: Temporizador Cubo | Mercado Livre ... Rating 4.7 - 2,450 reviews'.</t>
        </is>
      </c>
      <c r="H176" s="17" t="inlineStr">
        <is>
          <t>DOC-C13-010</t>
        </is>
      </c>
      <c r="I176" s="17" t="inlineStr">
        <is>
          <t>moderate</t>
        </is>
      </c>
      <c r="J176" s="17" t="inlineStr">
        <is>
          <t>0.8</t>
        </is>
      </c>
      <c r="K176" s="17" t="inlineStr">
        <is>
          <t>fact</t>
        </is>
      </c>
      <c r="L176" s="17" t="inlineStr">
        <is>
          <t>high</t>
        </is>
      </c>
      <c r="M176" s="17" t="inlineStr">
        <is>
          <t>medium</t>
        </is>
      </c>
      <c r="N176" s="18" t="inlineStr">
        <is>
          <t>Repetir a mesma captura para caderno/planner e para saquinhos organizadores; sem isso o preco do Neurobook fica sem ancora.</t>
        </is>
      </c>
    </row>
    <row r="177">
      <c r="A177" s="17" t="inlineStr">
        <is>
          <t>SA-05</t>
        </is>
      </c>
      <c r="B177" s="17" t="inlineStr">
        <is>
          <t>competitive_landscape</t>
        </is>
      </c>
      <c r="C177" s="17" t="inlineStr">
        <is>
          <t>ECO-05</t>
        </is>
      </c>
      <c r="D177" s="17" t="inlineStr">
        <is>
          <t>digital_product</t>
        </is>
      </c>
      <c r="E177" s="17" t="inlineStr">
        <is>
          <t>education_platform</t>
        </is>
      </c>
      <c r="F177" s="18" t="inlineStr">
        <is>
          <t>O acervo traz seis referencias de curso e cinco de e-book com preco, mas sem URL, data de coleta ou identificacao dos concorrentes.</t>
        </is>
      </c>
      <c r="G177" s="18" t="inlineStr">
        <is>
          <t>Ecossistema, tabelas 'Benchmark - e-books' e 'Benchmark - curso' listam faixas e ofertas ('Programa premium TDAH 2.0, 90 dias, 75 aulas, app/IA, R$ 1.997') sem nome comercial nem link verificavel.</t>
        </is>
      </c>
      <c r="H177" s="17" t="inlineStr">
        <is>
          <t>DOC-C05-001</t>
        </is>
      </c>
      <c r="I177" s="17" t="inlineStr">
        <is>
          <t>weak</t>
        </is>
      </c>
      <c r="J177" s="17" t="inlineStr">
        <is>
          <t>0.65</t>
        </is>
      </c>
      <c r="K177" s="17" t="inlineStr">
        <is>
          <t>gap</t>
        </is>
      </c>
      <c r="L177" s="17" t="inlineStr">
        <is>
          <t>medium</t>
        </is>
      </c>
      <c r="M177" s="17" t="inlineStr">
        <is>
          <t>medium</t>
        </is>
      </c>
      <c r="N177" s="18" t="inlineStr">
        <is>
          <t>Nomear e datar cada benchmark antes de usa-lo para justificar preco em pagina publica.</t>
        </is>
      </c>
    </row>
    <row r="178">
      <c r="A178" s="17" t="inlineStr">
        <is>
          <t>SA-05</t>
        </is>
      </c>
      <c r="B178" s="17" t="inlineStr">
        <is>
          <t>competitive_landscape</t>
        </is>
      </c>
      <c r="C178" s="17" t="inlineStr">
        <is>
          <t>ECO-06</t>
        </is>
      </c>
      <c r="D178" s="17" t="inlineStr">
        <is>
          <t>digital_product</t>
        </is>
      </c>
      <c r="E178" s="17" t="n"/>
      <c r="F178" s="18" t="inlineStr">
        <is>
          <t>Nao ha mapeamento competitivo do livro autoral de Risco Cognitivo, e o acervo alerta explicitamente contra tratar a ausencia de concorrente como prova de ineditismo.</t>
        </is>
      </c>
      <c r="G178" s="18" t="inlineStr">
        <is>
          <t>MASTER_INDEX RC-016: 'Nao foi encontrado na pesquisa executada um framework consolidado que una TDAH/funcoes executivas + risco endogeno + gestao de projetos + controles compensatorios... O whitespace e promissor, mas ausencia em busca nao equivale a inexistencia academica'; BMC, Riscos: 'Tratar a ausencia de um framework equivalente nas buscas como prova de ineditismo pode comprometer a credibilidade'.</t>
        </is>
      </c>
      <c r="H178" s="17" t="inlineStr">
        <is>
          <t>DOC-C02-002;DOC-C02-039</t>
        </is>
      </c>
      <c r="I178" s="17" t="inlineStr">
        <is>
          <t>strong</t>
        </is>
      </c>
      <c r="J178" s="17" t="inlineStr">
        <is>
          <t>0.9</t>
        </is>
      </c>
      <c r="K178" s="17" t="inlineStr">
        <is>
          <t>fact</t>
        </is>
      </c>
      <c r="L178" s="17" t="inlineStr">
        <is>
          <t>high</t>
        </is>
      </c>
      <c r="M178" s="17" t="inlineStr">
        <is>
          <t>medium</t>
        </is>
      </c>
      <c r="N178" s="18" t="inlineStr">
        <is>
          <t>Condicionar qualquer reivindicacao de ineditismo do livro a uma scoping review concluida, como ja previsto no plano.</t>
        </is>
      </c>
    </row>
    <row r="179">
      <c r="A179" s="17" t="inlineStr">
        <is>
          <t>SA-05</t>
        </is>
      </c>
      <c r="B179" s="17" t="inlineStr">
        <is>
          <t>competitive_landscape</t>
        </is>
      </c>
      <c r="C179" s="17" t="inlineStr">
        <is>
          <t>ECO-08</t>
        </is>
      </c>
      <c r="D179" s="17" t="inlineStr">
        <is>
          <t>content_community</t>
        </is>
      </c>
      <c r="E179" s="17" t="inlineStr">
        <is>
          <t>social</t>
        </is>
      </c>
      <c r="F179" s="18" t="inlineStr">
        <is>
          <t>Nao existe mapeamento de criadores ou canais concorrentes de TDAH adulto no Brasil, apesar de 'midia/autoridade medica' e 'infoprodutores' serem categorias declaradas.</t>
        </is>
      </c>
      <c r="G179" s="18" t="inlineStr">
        <is>
          <t>Dashboard QL-0017 nomeia as categorias, mas nenhum documento de ECO-08 lido (DOC-C14-004, DOC-C14-005, DOC-C14-006) contem analise de canal concorrente; as notas PUB tem apenas tarefa e campo Evidencia.</t>
        </is>
      </c>
      <c r="H179" s="17" t="inlineStr">
        <is>
          <t>DOC-C07-009;DOC-C14-004;DOC-C14-005;DOC-C14-006</t>
        </is>
      </c>
      <c r="I179" s="17" t="inlineStr">
        <is>
          <t>strong</t>
        </is>
      </c>
      <c r="J179" s="17" t="inlineStr">
        <is>
          <t>0.8</t>
        </is>
      </c>
      <c r="K179" s="17" t="inlineStr">
        <is>
          <t>gap</t>
        </is>
      </c>
      <c r="L179" s="17" t="inlineStr">
        <is>
          <t>medium</t>
        </is>
      </c>
      <c r="M179" s="17" t="inlineStr">
        <is>
          <t>medium</t>
        </is>
      </c>
      <c r="N179" s="18" t="inlineStr">
        <is>
          <t>Listar 10 canais brasileiros de TDAH adulto com formato, frequencia e CTA antes de fixar a grade de publicacao.</t>
        </is>
      </c>
    </row>
    <row r="180">
      <c r="A180" s="17" t="inlineStr">
        <is>
          <t>SA-06A</t>
        </is>
      </c>
      <c r="B180" s="17" t="inlineStr">
        <is>
          <t>value_pools</t>
        </is>
      </c>
      <c r="C180" s="17" t="inlineStr">
        <is>
          <t>ECO-05</t>
        </is>
      </c>
      <c r="D180" s="17" t="inlineStr">
        <is>
          <t>digital_product</t>
        </is>
      </c>
      <c r="E180" s="17" t="inlineStr">
        <is>
          <t>education_platform</t>
        </is>
      </c>
      <c r="F180" s="18" t="inlineStr">
        <is>
          <t>O acervo atribui aos infoprodutos o papel de motor de margem do ecossistema.</t>
        </is>
      </c>
      <c r="G180" s="18" t="inlineStr">
        <is>
          <t>Dashboard QL-0039, subtema 'Ecossistema de retencao': 'Infoprodutos sao propostos como motor de margem e produtos fisicos como retencao e marca'; acao secundaria: 'Validar economia unitaria e vinculo real entre fisico e retencao'.</t>
        </is>
      </c>
      <c r="H180" s="17" t="inlineStr">
        <is>
          <t>DOC-C07-009</t>
        </is>
      </c>
      <c r="I180" s="17" t="inlineStr">
        <is>
          <t>moderate</t>
        </is>
      </c>
      <c r="J180" s="17" t="inlineStr">
        <is>
          <t>0.8</t>
        </is>
      </c>
      <c r="K180" s="17" t="inlineStr">
        <is>
          <t>fact</t>
        </is>
      </c>
      <c r="L180" s="17" t="inlineStr">
        <is>
          <t>high</t>
        </is>
      </c>
      <c r="M180" s="17" t="inlineStr">
        <is>
          <t>high</t>
        </is>
      </c>
      <c r="N180" s="18" t="inlineStr">
        <is>
          <t>Tratar a linha digital como a que precisa de margem comprovada no lancamento e a fisica como investimento de marca com teto de estoque.</t>
        </is>
      </c>
    </row>
    <row r="181">
      <c r="A181" s="17" t="inlineStr">
        <is>
          <t>SA-06A</t>
        </is>
      </c>
      <c r="B181" s="17" t="inlineStr">
        <is>
          <t>value_pools</t>
        </is>
      </c>
      <c r="C181" s="17" t="inlineStr">
        <is>
          <t>ECO-04</t>
        </is>
      </c>
      <c r="D181" s="17" t="inlineStr">
        <is>
          <t>physical_product</t>
        </is>
      </c>
      <c r="E181" s="17" t="inlineStr">
        <is>
          <t>owned_web</t>
        </is>
      </c>
      <c r="F181" s="18" t="inlineStr">
        <is>
          <t>O papel atribuido aos produtos fisicos e retencao e marca, e nao geracao primaria de margem.</t>
        </is>
      </c>
      <c r="G181" s="18" t="inlineStr">
        <is>
          <t>Dashboard QL-0039: 'Infoprodutos sao propostos como motor de margem e produtos fisicos como retencao e marca'; Ecossistema, papel do bundle: 'Nao precisa maximizar margem percentual; deve maximizar margem absoluta + ticket + conversao'.</t>
        </is>
      </c>
      <c r="H181" s="17" t="inlineStr">
        <is>
          <t>DOC-C07-009;DOC-C05-001</t>
        </is>
      </c>
      <c r="I181" s="17" t="inlineStr">
        <is>
          <t>moderate</t>
        </is>
      </c>
      <c r="J181" s="17" t="inlineStr">
        <is>
          <t>0.8</t>
        </is>
      </c>
      <c r="K181" s="17" t="inlineStr">
        <is>
          <t>fact</t>
        </is>
      </c>
      <c r="L181" s="17" t="inlineStr">
        <is>
          <t>high</t>
        </is>
      </c>
      <c r="M181" s="17" t="inlineStr">
        <is>
          <t>high</t>
        </is>
      </c>
      <c r="N181" s="18" t="inlineStr">
        <is>
          <t>Nao exigir do fisico o retorno de um produto de margem; medi-lo por ticket medio, recompra de reposicoes e vinculo com o app.</t>
        </is>
      </c>
    </row>
    <row r="182">
      <c r="A182" s="17" t="inlineStr">
        <is>
          <t>SA-06A</t>
        </is>
      </c>
      <c r="B182" s="17" t="inlineStr">
        <is>
          <t>value_pools</t>
        </is>
      </c>
      <c r="C182" s="17" t="inlineStr">
        <is>
          <t>ECO-05</t>
        </is>
      </c>
      <c r="D182" s="17" t="inlineStr">
        <is>
          <t>digital_product</t>
        </is>
      </c>
      <c r="E182" s="17" t="inlineStr">
        <is>
          <t>education_platform</t>
        </is>
      </c>
      <c r="F182" s="18" t="inlineStr">
        <is>
          <t>A escada comercial declarada tem sete degraus, do conteudo gratuito ao servico personalizado, com precos indicativos nos degraus 1 a 4.</t>
        </is>
      </c>
      <c r="G182" s="18" t="inlineStr">
        <is>
          <t>Ecossistema, 'A arquitetura comercial completa': '0 Blog/videos/materiais Gratuito Descoberta | 1 E-book individual R$ 39,90 Primeira compra | 2 3 e-books R$ 99-129 Biblioteca aplicada | 3 Curso Gerenciando TDAH Adulto R$ 97 Transformacao guiada | 4 Curso + biblioteca R$ 197 Oferta principal | 5 Produto fisico + digital Futuro Ecossistema | 6 Servico personalizado Categoria propria'.</t>
        </is>
      </c>
      <c r="H182" s="17" t="inlineStr">
        <is>
          <t>DOC-C05-001</t>
        </is>
      </c>
      <c r="I182" s="17" t="inlineStr">
        <is>
          <t>strong</t>
        </is>
      </c>
      <c r="J182" s="17" t="inlineStr">
        <is>
          <t>0.85</t>
        </is>
      </c>
      <c r="K182" s="17" t="inlineStr">
        <is>
          <t>fact</t>
        </is>
      </c>
      <c r="L182" s="17" t="inlineStr">
        <is>
          <t>high</t>
        </is>
      </c>
      <c r="M182" s="17" t="inlineStr">
        <is>
          <t>high</t>
        </is>
      </c>
      <c r="N182" s="18" t="inlineStr">
        <is>
          <t>Publicar apenas os degraus 0 a 4 no lancamento; o degrau 5 esta marcado como 'Futuro' no proprio documento.</t>
        </is>
      </c>
    </row>
    <row r="183">
      <c r="A183" s="17" t="inlineStr">
        <is>
          <t>SA-06A</t>
        </is>
      </c>
      <c r="B183" s="17" t="inlineStr">
        <is>
          <t>value_pools</t>
        </is>
      </c>
      <c r="C183" s="17" t="inlineStr">
        <is>
          <t>ECO-04</t>
        </is>
      </c>
      <c r="D183" s="17" t="inlineStr">
        <is>
          <t>physical_product</t>
        </is>
      </c>
      <c r="E183" s="17" t="inlineStr">
        <is>
          <t>owned_web</t>
        </is>
      </c>
      <c r="F183" s="18" t="inlineStr">
        <is>
          <t>A linha fisica tem arquitetura comercial em cinco niveis, com reposicoes previstas como receita recorrente.</t>
        </is>
      </c>
      <c r="G183" s="18" t="inlineStr">
        <is>
          <t>Ecossistema, 'Arquitetura comercial da linha': 'Entrada Timer 45 / Kit Organizacao | Core Neurobook | Bundle Executar Office Kit | Upsell Componentes adicionais / reposicoes / reprints | Integracao QR / App Executar / templates'; e 'Reposicoes: Reprints, etiquetas, paginas, acessorios - Receita recorrente fisica'.</t>
        </is>
      </c>
      <c r="H183" s="17" t="inlineStr">
        <is>
          <t>DOC-C05-001;DOC-C09-008</t>
        </is>
      </c>
      <c r="I183" s="17" t="inlineStr">
        <is>
          <t>strong</t>
        </is>
      </c>
      <c r="J183" s="17" t="inlineStr">
        <is>
          <t>0.85</t>
        </is>
      </c>
      <c r="K183" s="17" t="inlineStr">
        <is>
          <t>fact</t>
        </is>
      </c>
      <c r="L183" s="17" t="inlineStr">
        <is>
          <t>high</t>
        </is>
      </c>
      <c r="M183" s="17" t="inlineStr">
        <is>
          <t>medium</t>
        </is>
      </c>
      <c r="N183" s="18" t="inlineStr">
        <is>
          <t>Desenhar o Neurobook desde o inicio com paginas reponiveis; a receita recorrente depende de decisao de produto tomada agora.</t>
        </is>
      </c>
    </row>
    <row r="184">
      <c r="A184" s="17" t="inlineStr">
        <is>
          <t>SA-06A</t>
        </is>
      </c>
      <c r="B184" s="17" t="inlineStr">
        <is>
          <t>value_pools</t>
        </is>
      </c>
      <c r="C184" s="17" t="inlineStr">
        <is>
          <t>ECO-08</t>
        </is>
      </c>
      <c r="D184" s="17" t="inlineStr">
        <is>
          <t>content_community</t>
        </is>
      </c>
      <c r="E184" s="17" t="inlineStr">
        <is>
          <t>affiliate</t>
        </is>
      </c>
      <c r="F184" s="18" t="inlineStr">
        <is>
          <t>A monetizacao do ecossistema editorial esta ordenada como cadeia unica, com afiliado no primeiro degrau.</t>
        </is>
      </c>
      <c r="G184" s="18" t="inlineStr">
        <is>
          <t>Ecossistema, Biblioteca Executar, campo Monetizacao: 'Afiliado, e-book, curso, produto, servico'; e cadeia de valor editorial '09 Livro afiliado Aprofundamento externo | 10 E-book Aplicacao estruturada | 11 Curso Aplicacao guiada | 12 Executar / Studio Implementacao'.</t>
        </is>
      </c>
      <c r="H184" s="17" t="inlineStr">
        <is>
          <t>DOC-C05-001;DOC-C09-018</t>
        </is>
      </c>
      <c r="I184" s="17" t="inlineStr">
        <is>
          <t>strong</t>
        </is>
      </c>
      <c r="J184" s="17" t="inlineStr">
        <is>
          <t>0.85</t>
        </is>
      </c>
      <c r="K184" s="17" t="inlineStr">
        <is>
          <t>fact</t>
        </is>
      </c>
      <c r="L184" s="17" t="inlineStr">
        <is>
          <t>high</t>
        </is>
      </c>
      <c r="M184" s="17" t="inlineStr">
        <is>
          <t>medium</t>
        </is>
      </c>
      <c r="N184" s="18" t="inlineStr">
        <is>
          <t>Medir receita por conteudo e nao por canal, como ja previsto em AF-08, para saber qual peca sustenta qual degrau.</t>
        </is>
      </c>
    </row>
    <row r="185">
      <c r="A185" s="17" t="inlineStr">
        <is>
          <t>SA-06A</t>
        </is>
      </c>
      <c r="B185" s="17" t="inlineStr">
        <is>
          <t>value_pools</t>
        </is>
      </c>
      <c r="C185" s="17" t="inlineStr">
        <is>
          <t>ECO-06</t>
        </is>
      </c>
      <c r="D185" s="17" t="inlineStr">
        <is>
          <t>digital_product</t>
        </is>
      </c>
      <c r="E185" s="17" t="inlineStr">
        <is>
          <t>owned_web</t>
        </is>
      </c>
      <c r="F185" s="18" t="inlineStr">
        <is>
          <t>O livro autoral de Risco Cognitivo aparece como ultimo degrau de uma escada de maturidade intelectual, nao como oferta do lancamento.</t>
        </is>
      </c>
      <c r="G185" s="18" t="inlineStr">
        <is>
          <t>MASTER_INDEX RC-028, 'Escada de maturidade', status DECIDIDO, prazo DEPOIS: 'Evolucao sugerida: artigo/manifesto v0, white paper/framework v1, aplicacao no EXECUTAR, casos/dados, artigo academico, livro/curso'; texto 2.txt, Entregue: 'white paper/livro/curso = expansao intelectual, mantendo cada estagio condicionado a validacao do anterior'.</t>
        </is>
      </c>
      <c r="H185" s="17" t="inlineStr">
        <is>
          <t>DOC-C02-002;DOC-C02-042</t>
        </is>
      </c>
      <c r="I185" s="17" t="inlineStr">
        <is>
          <t>strong</t>
        </is>
      </c>
      <c r="J185" s="17" t="inlineStr">
        <is>
          <t>0.9</t>
        </is>
      </c>
      <c r="K185" s="17" t="inlineStr">
        <is>
          <t>fact</t>
        </is>
      </c>
      <c r="L185" s="17" t="inlineStr">
        <is>
          <t>high</t>
        </is>
      </c>
      <c r="M185" s="17" t="inlineStr">
        <is>
          <t>medium</t>
        </is>
      </c>
      <c r="N185" s="18" t="inlineStr">
        <is>
          <t>Retirar o livro autoral de qualquer promessa de 07/09; ele esta condicionado a artigo fundador, scoping review e white paper.</t>
        </is>
      </c>
    </row>
    <row r="186">
      <c r="A186" s="17" t="inlineStr">
        <is>
          <t>SA-06B</t>
        </is>
      </c>
      <c r="B186" s="17" t="inlineStr">
        <is>
          <t>unit_economics</t>
        </is>
      </c>
      <c r="C186" s="17" t="inlineStr">
        <is>
          <t>ECO-04</t>
        </is>
      </c>
      <c r="D186" s="17" t="inlineStr">
        <is>
          <t>physical_product</t>
        </is>
      </c>
      <c r="E186" s="17" t="n"/>
      <c r="F186" s="18" t="inlineStr">
        <is>
          <t>A estrutura de economia unitaria da linha fisica esta completamente definida como formula e completamente vazia como numero.</t>
        </is>
      </c>
      <c r="G186" s="18" t="inlineStr">
        <is>
          <t>Ecossistema, Unit Economics: componentes 'frete internacional', 'impostos/importacao', 'frete/localizacao', 'embalagem Executar', 'etiqueta/manual/QR' todos com valor 'preencher'; 'Custo posto / landed cost X', 'Custo variavel total Y', 'Preco de venda P', 'Margem de contribuicao P menos Y'; unico valor real: 'Preco do fornecedor R$ 39'.</t>
        </is>
      </c>
      <c r="H186" s="17" t="inlineStr">
        <is>
          <t>DOC-C05-001</t>
        </is>
      </c>
      <c r="I186" s="17" t="inlineStr">
        <is>
          <t>strong</t>
        </is>
      </c>
      <c r="J186" s="17" t="inlineStr">
        <is>
          <t>0.9</t>
        </is>
      </c>
      <c r="K186" s="17" t="inlineStr">
        <is>
          <t>gap</t>
        </is>
      </c>
      <c r="L186" s="17" t="inlineStr">
        <is>
          <t>high</t>
        </is>
      </c>
      <c r="M186" s="17" t="inlineStr">
        <is>
          <t>high</t>
        </is>
      </c>
      <c r="N186" s="18" t="inlineStr">
        <is>
          <t>Preencher a coluna de custo de um SKU real (Timer 45) esta semana; sem Y nao existe preco defensavel.</t>
        </is>
      </c>
    </row>
    <row r="187">
      <c r="A187" s="17" t="inlineStr">
        <is>
          <t>SA-06B</t>
        </is>
      </c>
      <c r="B187" s="17" t="inlineStr">
        <is>
          <t>unit_economics</t>
        </is>
      </c>
      <c r="C187" s="17" t="inlineStr">
        <is>
          <t>ECO-04</t>
        </is>
      </c>
      <c r="D187" s="17" t="inlineStr">
        <is>
          <t>physical_product</t>
        </is>
      </c>
      <c r="E187" s="17" t="n"/>
      <c r="F187" s="18" t="inlineStr">
        <is>
          <t>O acervo distingue margem de markup e fixa a formula, evitando o erro de precificar por dobra de custo.</t>
        </is>
      </c>
      <c r="G187" s="18" t="inlineStr">
        <is>
          <t>Ecossistema: 'Margem bruta = (Preco menos Custo) dividido por Preco'; 'Markup = Preco dividido por Custo'; tabela: 'R$ 40 custo, R$ 80 venda, ganho R$ 40, margem 50% | R$ 40, R$ 100, R$ 60, 60% | R$ 40, R$ 120, R$ 80, 66,7%'; 'dobrar o preco representa markup de 2x, mas margem de apenas 50%'.</t>
        </is>
      </c>
      <c r="H187" s="17" t="inlineStr">
        <is>
          <t>DOC-C05-001</t>
        </is>
      </c>
      <c r="I187" s="17" t="inlineStr">
        <is>
          <t>strong</t>
        </is>
      </c>
      <c r="J187" s="17" t="inlineStr">
        <is>
          <t>0.9</t>
        </is>
      </c>
      <c r="K187" s="17" t="inlineStr">
        <is>
          <t>fact</t>
        </is>
      </c>
      <c r="L187" s="17" t="inlineStr">
        <is>
          <t>medium</t>
        </is>
      </c>
      <c r="M187" s="17" t="inlineStr">
        <is>
          <t>medium</t>
        </is>
      </c>
      <c r="N187" s="18" t="inlineStr">
        <is>
          <t>Adotar margem de contribuicao como metrica unica de decisao de preco e abandonar raciocinio de markup nas pecas comerciais.</t>
        </is>
      </c>
    </row>
    <row r="188">
      <c r="A188" s="17" t="inlineStr">
        <is>
          <t>SA-06B</t>
        </is>
      </c>
      <c r="B188" s="17" t="inlineStr">
        <is>
          <t>unit_economics</t>
        </is>
      </c>
      <c r="C188" s="17" t="inlineStr">
        <is>
          <t>ECO-04</t>
        </is>
      </c>
      <c r="D188" s="17" t="inlineStr">
        <is>
          <t>physical_product</t>
        </is>
      </c>
      <c r="E188" s="17" t="inlineStr">
        <is>
          <t>owned_web</t>
        </is>
      </c>
      <c r="F188" s="18" t="inlineStr">
        <is>
          <t>O unico calculo de bundle do acervo e explicitamente rotulado como exemplo matematico e nao como preco decidido.</t>
        </is>
      </c>
      <c r="G188" s="18" t="inlineStr">
        <is>
          <t>Ecossistema: 'Exemplo apenas matematico: Neurobook R$ 149 + Timer R$ 119 + Organizacao R$ 79 + acessorios R$ 99 = R$ 446. Se o kit for R$ 369, o cliente percebe R$ 77 de economia / ~17% de desconto. Mas o desconto so e saudavel se o custo total ainda deixar a margem de contribuicao desejada.'</t>
        </is>
      </c>
      <c r="H188" s="17" t="inlineStr">
        <is>
          <t>DOC-C05-001</t>
        </is>
      </c>
      <c r="I188" s="17" t="inlineStr">
        <is>
          <t>strong</t>
        </is>
      </c>
      <c r="J188" s="17" t="inlineStr">
        <is>
          <t>0.85</t>
        </is>
      </c>
      <c r="K188" s="17" t="inlineStr">
        <is>
          <t>fact</t>
        </is>
      </c>
      <c r="L188" s="17" t="inlineStr">
        <is>
          <t>high</t>
        </is>
      </c>
      <c r="M188" s="17" t="inlineStr">
        <is>
          <t>high</t>
        </is>
      </c>
      <c r="N188" s="18" t="inlineStr">
        <is>
          <t>Nao publicar R$ 369 nem R$ 349 como preco antes de rodar as seis etapas de estruturacao de desconto descritas no proprio documento.</t>
        </is>
      </c>
    </row>
    <row r="189">
      <c r="A189" s="17" t="inlineStr">
        <is>
          <t>SA-06B</t>
        </is>
      </c>
      <c r="B189" s="17" t="inlineStr">
        <is>
          <t>working_capital</t>
        </is>
      </c>
      <c r="C189" s="17" t="inlineStr">
        <is>
          <t>ECO-04</t>
        </is>
      </c>
      <c r="D189" s="17" t="inlineStr">
        <is>
          <t>physical_product</t>
        </is>
      </c>
      <c r="E189" s="17" t="n"/>
      <c r="F189" s="18" t="inlineStr">
        <is>
          <t>O risco financeiro dominante da linha fisica esta nomeado como capital de giro, e nao como CapEx.</t>
        </is>
      </c>
      <c r="G189" s="18" t="inlineStr">
        <is>
          <t>Ecossistema, CapEx x OpEx: 'Estoque - Timers, Neurobooks, saquinhos e kits comprados para revenda - Ativo circulante / estoque, nao simplesmente OpEx'; 'Capital de giro - Dinheiro preso entre compra do produto e recebimento da venda - Este e um dos riscos principais desta linha fisica'; 'Quanto dinheiro eu quero imobilizar em estoque antes de provar que existe demanda?'.</t>
        </is>
      </c>
      <c r="H189" s="17" t="inlineStr">
        <is>
          <t>DOC-C05-001;DOC-C09-008</t>
        </is>
      </c>
      <c r="I189" s="17" t="inlineStr">
        <is>
          <t>strong</t>
        </is>
      </c>
      <c r="J189" s="17" t="inlineStr">
        <is>
          <t>0.9</t>
        </is>
      </c>
      <c r="K189" s="17" t="inlineStr">
        <is>
          <t>fact</t>
        </is>
      </c>
      <c r="L189" s="17" t="inlineStr">
        <is>
          <t>high</t>
        </is>
      </c>
      <c r="M189" s="17" t="inlineStr">
        <is>
          <t>high</t>
        </is>
      </c>
      <c r="N189" s="18" t="inlineStr">
        <is>
          <t>Manter a Fase 01 (0-1 amostra) ate ter numero de lista de interesse; a regra de nao imobilizar estoque ja e politica declarada.</t>
        </is>
      </c>
    </row>
    <row r="190">
      <c r="A190" s="17" t="inlineStr">
        <is>
          <t>SA-06B</t>
        </is>
      </c>
      <c r="B190" s="17" t="inlineStr">
        <is>
          <t>pricing</t>
        </is>
      </c>
      <c r="C190" s="17" t="inlineStr">
        <is>
          <t>ECO-04</t>
        </is>
      </c>
      <c r="D190" s="17" t="inlineStr">
        <is>
          <t>physical_product</t>
        </is>
      </c>
      <c r="E190" s="17" t="n"/>
      <c r="F190" s="18" t="inlineStr">
        <is>
          <t>A politica de margem da linha fisica e deliberadamente nao fixada, por desconhecimento de custo posto e de elasticidade.</t>
        </is>
      </c>
      <c r="G190" s="18" t="inlineStr">
        <is>
          <t>Ecossistema: 'Eu nao fixaria ainda o Timer precisa dar 60% ou o Neurobook precisa dar 50%. Primeiro estabeleceria faixas internas de teste, porque voce ainda nao conhece o custo posto nem a elasticidade da demanda'; classes: Timer 'margem mais disciplinada', Kit Organizacao 'margem pode vir mais do design', Neurobook 'maior liberdade de preco', Office Kit 'maximizar margem absoluta + ticket + conversao'.</t>
        </is>
      </c>
      <c r="H190" s="17" t="inlineStr">
        <is>
          <t>DOC-C05-001</t>
        </is>
      </c>
      <c r="I190" s="17" t="inlineStr">
        <is>
          <t>strong</t>
        </is>
      </c>
      <c r="J190" s="17" t="inlineStr">
        <is>
          <t>0.85</t>
        </is>
      </c>
      <c r="K190" s="17" t="inlineStr">
        <is>
          <t>fact</t>
        </is>
      </c>
      <c r="L190" s="17" t="inlineStr">
        <is>
          <t>high</t>
        </is>
      </c>
      <c r="M190" s="17" t="inlineStr">
        <is>
          <t>medium</t>
        </is>
      </c>
      <c r="N190" s="18" t="inlineStr">
        <is>
          <t>Registrar faixas internas de margem por classe de SKU como decisao formal antes da pagina de produto ir ao ar.</t>
        </is>
      </c>
    </row>
    <row r="191">
      <c r="A191" s="17" t="inlineStr">
        <is>
          <t>SA-06B</t>
        </is>
      </c>
      <c r="B191" s="17" t="inlineStr">
        <is>
          <t>pricing</t>
        </is>
      </c>
      <c r="C191" s="17" t="inlineStr">
        <is>
          <t>ECO-05</t>
        </is>
      </c>
      <c r="D191" s="17" t="inlineStr">
        <is>
          <t>digital_product</t>
        </is>
      </c>
      <c r="E191" s="17" t="inlineStr">
        <is>
          <t>education_platform</t>
        </is>
      </c>
      <c r="F191" s="18" t="inlineStr">
        <is>
          <t>Os precos de infoproduto estao decididos em tres niveis para o e-book e quatro momentos para o curso.</t>
        </is>
      </c>
      <c r="G191" s="18" t="inlineStr">
        <is>
          <t>Ecossistema: 'Minha escolha inicial - Preco cheio: R$ 49,90; Preco de lancamento: R$ 39,90; Early adopter limitado: R$ 29,90'; curso: 'Turma/beta inicial R$ 79-97 | Lancamento R$ 97 | Preco regular apos validacao R$ 147 | Curso + 3 e-books R$ 197'; escada 'R$ 39,90 e-book, R$ 97 curso, R$ 197 bundle/ecossistema'.</t>
        </is>
      </c>
      <c r="H191" s="17" t="inlineStr">
        <is>
          <t>DOC-C05-001;DOC-C09-013</t>
        </is>
      </c>
      <c r="I191" s="17" t="inlineStr">
        <is>
          <t>strong</t>
        </is>
      </c>
      <c r="J191" s="17" t="inlineStr">
        <is>
          <t>0.85</t>
        </is>
      </c>
      <c r="K191" s="17" t="inlineStr">
        <is>
          <t>fact</t>
        </is>
      </c>
      <c r="L191" s="17" t="inlineStr">
        <is>
          <t>high</t>
        </is>
      </c>
      <c r="M191" s="17" t="inlineStr">
        <is>
          <t>high</t>
        </is>
      </c>
      <c r="N191" s="18" t="inlineStr">
        <is>
          <t>Transportar esses precos para o cadastro Hotmart e para a pagina propria como numeros unicos; hoje o campo preco de DOC-C09-015 esta vazio.</t>
        </is>
      </c>
    </row>
    <row r="192">
      <c r="A192" s="17" t="inlineStr">
        <is>
          <t>SA-06B</t>
        </is>
      </c>
      <c r="B192" s="17" t="inlineStr">
        <is>
          <t>unit_economics</t>
        </is>
      </c>
      <c r="C192" s="17" t="inlineStr">
        <is>
          <t>ECO-05</t>
        </is>
      </c>
      <c r="D192" s="17" t="inlineStr">
        <is>
          <t>digital_product</t>
        </is>
      </c>
      <c r="E192" s="17" t="inlineStr">
        <is>
          <t>education_platform</t>
        </is>
      </c>
      <c r="F192" s="18" t="inlineStr">
        <is>
          <t>Com a taxa prudencial declarada, o e-book de lancamento a R$ 39,90 rende cerca de R$ 33,46 liquidos de canal por venda, antes de impostos e CAC.</t>
        </is>
      </c>
      <c r="G192" s="18" t="inlineStr">
        <is>
          <t>Calculo direto sobre valores do proprio acervo: 39,90 menos (0,099 x 39,90 = 3,95) menos 2,49 = 33,46. Base: 'Eu faria suas projecoes usando 9,9% + R$ 2,49, por prudencia' e preco de lancamento R$ 39,90.</t>
        </is>
      </c>
      <c r="H192" s="17" t="inlineStr">
        <is>
          <t>DOC-C05-001</t>
        </is>
      </c>
      <c r="I192" s="17" t="inlineStr">
        <is>
          <t>moderate</t>
        </is>
      </c>
      <c r="J192" s="17" t="inlineStr">
        <is>
          <t>0.75</t>
        </is>
      </c>
      <c r="K192" s="17" t="inlineStr">
        <is>
          <t>inference</t>
        </is>
      </c>
      <c r="L192" s="17" t="inlineStr">
        <is>
          <t>medium</t>
        </is>
      </c>
      <c r="M192" s="17" t="inlineStr">
        <is>
          <t>medium</t>
        </is>
      </c>
      <c r="N192" s="18" t="inlineStr">
        <is>
          <t>Registrar essa conta como linha de base e completar com impostos sobre venda e custo de producao antes de chamar de margem.</t>
        </is>
      </c>
    </row>
    <row r="193">
      <c r="A193" s="17" t="inlineStr">
        <is>
          <t>SA-06B</t>
        </is>
      </c>
      <c r="B193" s="17" t="inlineStr">
        <is>
          <t>unit_economics</t>
        </is>
      </c>
      <c r="C193" s="17" t="inlineStr">
        <is>
          <t>ECO-05</t>
        </is>
      </c>
      <c r="D193" s="17" t="inlineStr">
        <is>
          <t>digital_product</t>
        </is>
      </c>
      <c r="E193" s="17" t="n"/>
      <c r="F193" s="18" t="inlineStr">
        <is>
          <t>Nao existe custo de producao do e-book nem do curso: nenhuma hora, diaria, ferramenta ou terceirizacao esta precificada.</t>
        </is>
      </c>
      <c r="G193" s="18" t="inlineStr">
        <is>
          <t>Ecossistema define o padrao de producao ('12-16 capitulos', '~60-100 paginas visuais', '18-24 aulas', 'Video total ~2,5-4 horas') mas nao atribui custo; o acervo diz que aqui 'o raciocinio nao deve ser primariamente custo + markup' e sim 'valor percebido, benchmark, posicionamento, taxa do canal, CAC, margem de contribuicao' - e o CAC tambem nao existe.</t>
        </is>
      </c>
      <c r="H193" s="17" t="inlineStr">
        <is>
          <t>DOC-C05-001</t>
        </is>
      </c>
      <c r="I193" s="17" t="inlineStr">
        <is>
          <t>strong</t>
        </is>
      </c>
      <c r="J193" s="17" t="inlineStr">
        <is>
          <t>0.85</t>
        </is>
      </c>
      <c r="K193" s="17" t="inlineStr">
        <is>
          <t>gap</t>
        </is>
      </c>
      <c r="L193" s="17" t="inlineStr">
        <is>
          <t>high</t>
        </is>
      </c>
      <c r="M193" s="17" t="inlineStr">
        <is>
          <t>medium</t>
        </is>
      </c>
      <c r="N193" s="18" t="inlineStr">
        <is>
          <t>Estimar custo em horas proprias por e-book usando a capacidade de 6h/dia ja declarada; sem isso a margem e apenas margem de canal.</t>
        </is>
      </c>
    </row>
    <row r="194">
      <c r="A194" s="17" t="inlineStr">
        <is>
          <t>SA-06B</t>
        </is>
      </c>
      <c r="B194" s="17" t="inlineStr">
        <is>
          <t>unit_economics</t>
        </is>
      </c>
      <c r="C194" s="17" t="inlineStr">
        <is>
          <t>ECO-06</t>
        </is>
      </c>
      <c r="D194" s="17" t="inlineStr">
        <is>
          <t>digital_product</t>
        </is>
      </c>
      <c r="E194" s="17" t="n"/>
      <c r="F194" s="18" t="inlineStr">
        <is>
          <t>Nao ha preco, condicao ou modelo de receita definido para os livros digitais: o item consta como pendencia aberta.</t>
        </is>
      </c>
      <c r="G194" s="18" t="inlineStr">
        <is>
          <t>DOC-C09-011, 'Para fechar': 'capa e descricao; estrutura 4E; formato interativo + PDF complementar; preco/condicao inicial; pagina propria; cadastro Hotmart; chamada CH-004' - todos os tres titulos com Estado 'estruturar cadastro'.</t>
        </is>
      </c>
      <c r="H194" s="17" t="inlineStr">
        <is>
          <t>DOC-C09-011</t>
        </is>
      </c>
      <c r="I194" s="17" t="inlineStr">
        <is>
          <t>strong</t>
        </is>
      </c>
      <c r="J194" s="17" t="inlineStr">
        <is>
          <t>0.9</t>
        </is>
      </c>
      <c r="K194" s="17" t="inlineStr">
        <is>
          <t>gap</t>
        </is>
      </c>
      <c r="L194" s="17" t="inlineStr">
        <is>
          <t>high</t>
        </is>
      </c>
      <c r="M194" s="17" t="inlineStr">
        <is>
          <t>high</t>
        </is>
      </c>
      <c r="N194" s="18" t="inlineStr">
        <is>
          <t>Aplicar a faixa ja decidida em DOC-C05-001 (R$ 39,90 lancamento) aos tres titulos e registrar a decisao na propria nota de oferta.</t>
        </is>
      </c>
    </row>
    <row r="195">
      <c r="A195" s="17" t="inlineStr">
        <is>
          <t>SA-06B</t>
        </is>
      </c>
      <c r="B195" s="17" t="inlineStr">
        <is>
          <t>unit_economics</t>
        </is>
      </c>
      <c r="C195" s="17" t="inlineStr">
        <is>
          <t>ECO-08</t>
        </is>
      </c>
      <c r="D195" s="17" t="inlineStr">
        <is>
          <t>content_community</t>
        </is>
      </c>
      <c r="E195" s="17" t="inlineStr">
        <is>
          <t>affiliate</t>
        </is>
      </c>
      <c r="F195" s="18" t="inlineStr">
        <is>
          <t>A receita de afiliados nao pode ser projetada: existe a comissao (10%) e o preco medio dos livros nao esta registrado, nem trafego ou taxa de clique.</t>
        </is>
      </c>
      <c r="G195" s="18" t="inlineStr">
        <is>
          <t>Ecossistema, AF-08 Metricas: 'Clique, conversao, receita por referencia, receita por conteudo' - todas a coletar; a unica constante e '10% para livros e livros digitais em compras qualificadas'; o BMC registra '% geral nao informado' e 'metricas nao informadas permanecem desconhecidas'.</t>
        </is>
      </c>
      <c r="H195" s="17" t="inlineStr">
        <is>
          <t>DOC-C05-001;DOC-C02-039</t>
        </is>
      </c>
      <c r="I195" s="17" t="inlineStr">
        <is>
          <t>moderate</t>
        </is>
      </c>
      <c r="J195" s="17" t="inlineStr">
        <is>
          <t>0.8</t>
        </is>
      </c>
      <c r="K195" s="17" t="inlineStr">
        <is>
          <t>gap</t>
        </is>
      </c>
      <c r="L195" s="17" t="inlineStr">
        <is>
          <t>low</t>
        </is>
      </c>
      <c r="M195" s="17" t="inlineStr">
        <is>
          <t>low</t>
        </is>
      </c>
      <c r="N195" s="18" t="inlineStr">
        <is>
          <t>Nao incluir receita de afiliados em nenhuma projecao de lancamento; usa-la apenas como sinal de engajamento editorial.</t>
        </is>
      </c>
    </row>
    <row r="196">
      <c r="A196" s="17" t="inlineStr">
        <is>
          <t>SA-07A</t>
        </is>
      </c>
      <c r="B196" s="17" t="inlineStr">
        <is>
          <t>value_chain</t>
        </is>
      </c>
      <c r="C196" s="17" t="inlineStr">
        <is>
          <t>ECO-04</t>
        </is>
      </c>
      <c r="D196" s="17" t="inlineStr">
        <is>
          <t>physical_product</t>
        </is>
      </c>
      <c r="E196" s="17" t="n"/>
      <c r="F196" s="18" t="inlineStr">
        <is>
          <t>A cadeia fisica declarada vai de compra para revenda a CMV, mas nenhum elo operacional (fornecedor, importacao, armazenagem, expedicao) tem responsavel ou processo.</t>
        </is>
      </c>
      <c r="G196" s="18" t="inlineStr">
        <is>
          <t>Ecossistema: 'Estoque - Timers, Neurobooks, saquinhos e kits comprados para revenda'; 'CMV - Custo do produto efetivamente vendido - O estoque transforma-se em Custo da Mercadoria Vendida quando ocorre a venda'; a fase 03 prevê 'Micro lote - Descobrir custo real, devolucoes e margem'.</t>
        </is>
      </c>
      <c r="H196" s="17" t="inlineStr">
        <is>
          <t>DOC-C05-001</t>
        </is>
      </c>
      <c r="I196" s="17" t="inlineStr">
        <is>
          <t>strong</t>
        </is>
      </c>
      <c r="J196" s="17" t="inlineStr">
        <is>
          <t>0.8</t>
        </is>
      </c>
      <c r="K196" s="17" t="inlineStr">
        <is>
          <t>gap</t>
        </is>
      </c>
      <c r="L196" s="17" t="inlineStr">
        <is>
          <t>high</t>
        </is>
      </c>
      <c r="M196" s="17" t="inlineStr">
        <is>
          <t>high</t>
        </is>
      </c>
      <c r="N196" s="18" t="inlineStr">
        <is>
          <t>Mapear os elos de suprimento e expedicao como tarefas com dono antes de aceitar o primeiro pedido pago.</t>
        </is>
      </c>
    </row>
    <row r="197">
      <c r="A197" s="17" t="inlineStr">
        <is>
          <t>SA-07A</t>
        </is>
      </c>
      <c r="B197" s="17" t="inlineStr">
        <is>
          <t>value_chain</t>
        </is>
      </c>
      <c r="C197" s="17" t="inlineStr">
        <is>
          <t>ECO-05</t>
        </is>
      </c>
      <c r="D197" s="17" t="inlineStr">
        <is>
          <t>digital_product</t>
        </is>
      </c>
      <c r="E197" s="17" t="inlineStr">
        <is>
          <t>education_platform</t>
        </is>
      </c>
      <c r="F197" s="18" t="inlineStr">
        <is>
          <t>A cadeia do infoproduto esta desenhada em duas trilhas paralelas: edicao interativa na store propria e edicao PDF/EPUB com area de membros na Hotmart.</t>
        </is>
      </c>
      <c r="G197" s="18" t="inlineStr">
        <is>
          <t>Ecossistema: 'Executar Store: Interactive Edition + PDF Edition | Hotmart: Experiencia em area de membros + PDF/EPUB complementar. Assim voce nao precisa degradar o produto inteiro ao formato PDF.'</t>
        </is>
      </c>
      <c r="H197" s="17" t="inlineStr">
        <is>
          <t>DOC-C05-001;DOC-C09-016</t>
        </is>
      </c>
      <c r="I197" s="17" t="inlineStr">
        <is>
          <t>strong</t>
        </is>
      </c>
      <c r="J197" s="17" t="inlineStr">
        <is>
          <t>0.85</t>
        </is>
      </c>
      <c r="K197" s="17" t="inlineStr">
        <is>
          <t>fact</t>
        </is>
      </c>
      <c r="L197" s="17" t="inlineStr">
        <is>
          <t>high</t>
        </is>
      </c>
      <c r="M197" s="17" t="inlineStr">
        <is>
          <t>medium</t>
        </is>
      </c>
      <c r="N197" s="18" t="inlineStr">
        <is>
          <t>Definir qual das duas trilhas existe em 07/09; manter as duas exige o dobro de producao dentro da mesma capacidade de 6h.</t>
        </is>
      </c>
    </row>
    <row r="198">
      <c r="A198" s="17" t="inlineStr">
        <is>
          <t>SA-07A</t>
        </is>
      </c>
      <c r="B198" s="17" t="inlineStr">
        <is>
          <t>value_chain</t>
        </is>
      </c>
      <c r="C198" s="17" t="inlineStr">
        <is>
          <t>ECO-08</t>
        </is>
      </c>
      <c r="D198" s="17" t="inlineStr">
        <is>
          <t>content_community</t>
        </is>
      </c>
      <c r="E198" s="17" t="inlineStr">
        <is>
          <t>social</t>
        </is>
      </c>
      <c r="F198" s="18" t="inlineStr">
        <is>
          <t>A cadeia de producao editorial esta definida como uma fonte canonica com doze projecoes, o que e a mecanica central do flywheel.</t>
        </is>
      </c>
      <c r="G198" s="18" t="inlineStr">
        <is>
          <t>Ecossistema, 'Regra de producao: uma fonte, varios outputs': '01 Questao editorial, 02 Pesquisa + fontes, 03 Artigo canonico, 04 Diagrama/infografico canonico, 05 Video principal, 06 2-4 Shorts/Reels, 07 Carrossel, 08 Post LinkedIn, 09 Newsletter, 10 Entrada na Biblioteca, 11 Trecho reaproveitavel no e-book/curso, 12 CTA de aprofundamento'; 'Nao sao doze conteudos diferentes. E um conteudo com doze projecoes.'</t>
        </is>
      </c>
      <c r="H198" s="17" t="inlineStr">
        <is>
          <t>DOC-C05-001;DOC-C14-004;DOC-C14-005;DOC-C14-006</t>
        </is>
      </c>
      <c r="I198" s="17" t="inlineStr">
        <is>
          <t>strong</t>
        </is>
      </c>
      <c r="J198" s="17" t="inlineStr">
        <is>
          <t>0.9</t>
        </is>
      </c>
      <c r="K198" s="17" t="inlineStr">
        <is>
          <t>fact</t>
        </is>
      </c>
      <c r="L198" s="17" t="inlineStr">
        <is>
          <t>high</t>
        </is>
      </c>
      <c r="M198" s="17" t="inlineStr">
        <is>
          <t>high</t>
        </is>
      </c>
      <c r="N198" s="18" t="inlineStr">
        <is>
          <t>Instanciar as doze projecoes como checklist no registro de cada peca; as notas PUB atuais so tem tarefa e evidencia.</t>
        </is>
      </c>
    </row>
    <row r="199">
      <c r="A199" s="17" t="inlineStr">
        <is>
          <t>SA-07A</t>
        </is>
      </c>
      <c r="B199" s="17" t="inlineStr">
        <is>
          <t>value_chain</t>
        </is>
      </c>
      <c r="C199" s="17" t="inlineStr">
        <is>
          <t>ECO-06</t>
        </is>
      </c>
      <c r="D199" s="17" t="inlineStr">
        <is>
          <t>digital_product</t>
        </is>
      </c>
      <c r="E199" s="17" t="n"/>
      <c r="F199" s="18" t="inlineStr">
        <is>
          <t>A cadeia de valor do livro autoral esta definida como sequencia condicionada, cada estagio dependendo da validacao do anterior.</t>
        </is>
      </c>
      <c r="G199" s="18" t="inlineStr">
        <is>
          <t>texto 2.txt, Agora-Processo: 'A ordem correta e artigo fundador, campanha editorial, sinais de audiencia, scoping review, critica externa, framework v1, piloto, white paper, aplicacao no EXECUTAR, casos/dados, livro/curso/artigo academico'.</t>
        </is>
      </c>
      <c r="H199" s="17" t="inlineStr">
        <is>
          <t>DOC-C02-042;DOC-C02-002</t>
        </is>
      </c>
      <c r="I199" s="17" t="inlineStr">
        <is>
          <t>strong</t>
        </is>
      </c>
      <c r="J199" s="17" t="inlineStr">
        <is>
          <t>0.9</t>
        </is>
      </c>
      <c r="K199" s="17" t="inlineStr">
        <is>
          <t>fact</t>
        </is>
      </c>
      <c r="L199" s="17" t="inlineStr">
        <is>
          <t>high</t>
        </is>
      </c>
      <c r="M199" s="17" t="inlineStr">
        <is>
          <t>medium</t>
        </is>
      </c>
      <c r="N199" s="18" t="inlineStr">
        <is>
          <t>Publicar o artigo fundador e medir sinais de audiencia como gate G1 do livro; nenhum estagio posterior deve comecar antes.</t>
        </is>
      </c>
    </row>
    <row r="200">
      <c r="A200" s="17" t="inlineStr">
        <is>
          <t>SA-07B</t>
        </is>
      </c>
      <c r="B200" s="17" t="inlineStr">
        <is>
          <t>capabilities</t>
        </is>
      </c>
      <c r="C200" s="17" t="inlineStr">
        <is>
          <t>ECO-04</t>
        </is>
      </c>
      <c r="D200" s="17" t="inlineStr">
        <is>
          <t>physical_product</t>
        </is>
      </c>
      <c r="E200" s="17" t="n"/>
      <c r="F200" s="18" t="inlineStr">
        <is>
          <t>Nenhuma capacidade de suprimento, importacao, estoque ou logistica reversa aparece declarada no acervo, embora a linha dependa dela.</t>
        </is>
      </c>
      <c r="G200" s="18" t="inlineStr">
        <is>
          <t>O somatorio de capacidade nao lista frente de suprimento: 'Central, rotas e chamadas 12 | Ofertas e cadastros 6 | Tres pecas editoriais 15 | Demonstracoes 15 | Publicacao e agenda 5 | Teste e conferencia 7 | Total 60'.</t>
        </is>
      </c>
      <c r="H200" s="17" t="inlineStr">
        <is>
          <t>DOC-C08-008;DOC-C09-008</t>
        </is>
      </c>
      <c r="I200" s="17" t="inlineStr">
        <is>
          <t>strong</t>
        </is>
      </c>
      <c r="J200" s="17" t="inlineStr">
        <is>
          <t>0.85</t>
        </is>
      </c>
      <c r="K200" s="17" t="inlineStr">
        <is>
          <t>gap</t>
        </is>
      </c>
      <c r="L200" s="17" t="inlineStr">
        <is>
          <t>high</t>
        </is>
      </c>
      <c r="M200" s="17" t="inlineStr">
        <is>
          <t>high</t>
        </is>
      </c>
      <c r="N200" s="18" t="inlineStr">
        <is>
          <t>Ou adquirir a capacidade (parceiro de fulfillment) ou manter a linha fisica em lista de interesse ate depois do lancamento.</t>
        </is>
      </c>
    </row>
    <row r="201">
      <c r="A201" s="17" t="inlineStr">
        <is>
          <t>SA-07B</t>
        </is>
      </c>
      <c r="B201" s="17" t="inlineStr">
        <is>
          <t>capabilities</t>
        </is>
      </c>
      <c r="C201" s="17" t="inlineStr">
        <is>
          <t>ECO-05</t>
        </is>
      </c>
      <c r="D201" s="17" t="inlineStr">
        <is>
          <t>digital_product</t>
        </is>
      </c>
      <c r="E201" s="17" t="inlineStr">
        <is>
          <t>owned_web</t>
        </is>
      </c>
      <c r="F201" s="18" t="inlineStr">
        <is>
          <t>A edicao interativa exige capacidade de desenvolvimento web (salvar progresso, quizzes, personalizacao, exportacao) que nao esta orcada em horas.</t>
        </is>
      </c>
      <c r="G201" s="18" t="inlineStr">
        <is>
          <t>Ecossistema, 'O que torna o e-book realmente interativo': 'Botoes, escolhas, checklists, quizzes, formularios, templates', 'Personalizacao: Resultado das respostas muda a proxima recomendacao', 'Salvar progresso', 'Exportar', 'Retomada'; 'A experiencia interna fica mais proxima de um microaplicativo editorial'.</t>
        </is>
      </c>
      <c r="H201" s="17" t="inlineStr">
        <is>
          <t>DOC-C05-001</t>
        </is>
      </c>
      <c r="I201" s="17" t="inlineStr">
        <is>
          <t>strong</t>
        </is>
      </c>
      <c r="J201" s="17" t="inlineStr">
        <is>
          <t>0.85</t>
        </is>
      </c>
      <c r="K201" s="17" t="inlineStr">
        <is>
          <t>inference</t>
        </is>
      </c>
      <c r="L201" s="17" t="inlineStr">
        <is>
          <t>high</t>
        </is>
      </c>
      <c r="M201" s="17" t="inlineStr">
        <is>
          <t>high</t>
        </is>
      </c>
      <c r="N201" s="18" t="inlineStr">
        <is>
          <t>Para 07/09, entregar a edicao PDF/estatica e tratar a edicao interativa como roadmap, ou o e-book vira um projeto de software.</t>
        </is>
      </c>
    </row>
    <row r="202">
      <c r="A202" s="17" t="inlineStr">
        <is>
          <t>SA-07B</t>
        </is>
      </c>
      <c r="B202" s="17" t="inlineStr">
        <is>
          <t>capabilities</t>
        </is>
      </c>
      <c r="C202" s="17" t="inlineStr">
        <is>
          <t>ECO-08</t>
        </is>
      </c>
      <c r="D202" s="17" t="inlineStr">
        <is>
          <t>content_community</t>
        </is>
      </c>
      <c r="E202" s="17" t="inlineStr">
        <is>
          <t>social</t>
        </is>
      </c>
      <c r="F202" s="18" t="inlineStr">
        <is>
          <t>A capacidade total do operador esta declarada em 6 horas executaveis por dia, com 60h comprometidas e 12h de reserva ate 05/09.</t>
        </is>
      </c>
      <c r="G202" s="18" t="inlineStr">
        <is>
          <t>Ecossistema: 'Com sua capacidade operacional ja definida de 6 horas executaveis/dia, existem 72 horas potenciais nesses 12 dias. Minha recomendacao: 60h comprometidas + 12h de reserva. Ou seja: planejar apenas 83% da capacidade'; DOC-C08-008 repete 'Total comprometido 60 | Reserva 12 | Capacidade total estimada 72'.</t>
        </is>
      </c>
      <c r="H202" s="17" t="inlineStr">
        <is>
          <t>DOC-C05-001;DOC-C08-008</t>
        </is>
      </c>
      <c r="I202" s="17" t="inlineStr">
        <is>
          <t>strong</t>
        </is>
      </c>
      <c r="J202" s="17" t="inlineStr">
        <is>
          <t>0.9</t>
        </is>
      </c>
      <c r="K202" s="17" t="inlineStr">
        <is>
          <t>fact</t>
        </is>
      </c>
      <c r="L202" s="17" t="inlineStr">
        <is>
          <t>high</t>
        </is>
      </c>
      <c r="M202" s="17" t="inlineStr">
        <is>
          <t>high</t>
        </is>
      </c>
      <c r="N202" s="18" t="inlineStr">
        <is>
          <t>Usar as 72h como restricao dura de escopo: qualquer nova frente entra retirando outra, nunca somando.</t>
        </is>
      </c>
    </row>
    <row r="203">
      <c r="A203" s="17" t="inlineStr">
        <is>
          <t>SA-07B</t>
        </is>
      </c>
      <c r="B203" s="17" t="inlineStr">
        <is>
          <t>capabilities</t>
        </is>
      </c>
      <c r="C203" s="17" t="inlineStr">
        <is>
          <t>ECO-06</t>
        </is>
      </c>
      <c r="D203" s="17" t="inlineStr">
        <is>
          <t>digital_product</t>
        </is>
      </c>
      <c r="E203" s="17" t="n"/>
      <c r="F203" s="18" t="inlineStr">
        <is>
          <t>Nao ha capacidade alocada para producao do livro autoral no cronograma de lancamento.</t>
        </is>
      </c>
      <c r="G203" s="18" t="inlineStr">
        <is>
          <t>As doze linhas do cronograma D1 a D12 em DOC-C05-001 cobrem control plane, destinos, commerce, tres pecas editoriais, tres showrooms, CMS, QA e freeze; nenhuma menciona livro, white paper ou scoping review.</t>
        </is>
      </c>
      <c r="H203" s="17" t="inlineStr">
        <is>
          <t>DOC-C05-001;DOC-C08-008</t>
        </is>
      </c>
      <c r="I203" s="17" t="inlineStr">
        <is>
          <t>strong</t>
        </is>
      </c>
      <c r="J203" s="17" t="inlineStr">
        <is>
          <t>0.85</t>
        </is>
      </c>
      <c r="K203" s="17" t="inlineStr">
        <is>
          <t>fact</t>
        </is>
      </c>
      <c r="L203" s="17" t="inlineStr">
        <is>
          <t>medium</t>
        </is>
      </c>
      <c r="M203" s="17" t="inlineStr">
        <is>
          <t>low</t>
        </is>
      </c>
      <c r="N203" s="18" t="inlineStr">
        <is>
          <t>Confirmar por escrito que o livro autoral esta fora da janela 25/08-07/09 para nao criar expectativa na comunicacao.</t>
        </is>
      </c>
    </row>
    <row r="204">
      <c r="A204" s="17" t="inlineStr">
        <is>
          <t>SA-08A</t>
        </is>
      </c>
      <c r="B204" s="17" t="inlineStr">
        <is>
          <t>company</t>
        </is>
      </c>
      <c r="C204" s="17" t="inlineStr">
        <is>
          <t>ECO-04</t>
        </is>
      </c>
      <c r="D204" s="17" t="inlineStr">
        <is>
          <t>physical_product</t>
        </is>
      </c>
      <c r="E204" s="17" t="inlineStr">
        <is>
          <t>owned_web</t>
        </is>
      </c>
      <c r="F204" s="18" t="inlineStr">
        <is>
          <t>A empresa define o Office Kit como hero product e a linha fisica como sistema integrado, com roupas explicitamente fora da primeira fase.</t>
        </is>
      </c>
      <c r="G204" s="18" t="inlineStr">
        <is>
          <t>Ecossistema, Master Index Produtos Fisicos: 'P0 Executar Office Kit - Produto principal / bundle - Prioridade maxima. Pre-venda/teste de intencao antes de estoque relevante'; 'P4 Roupas - Fora do escopo atual - As roupas mostradas no conceito visual nao entram nesta primeira fase - Nao lancar agora'.</t>
        </is>
      </c>
      <c r="H204" s="17" t="inlineStr">
        <is>
          <t>DOC-C05-001;DOC-C09-008</t>
        </is>
      </c>
      <c r="I204" s="17" t="inlineStr">
        <is>
          <t>strong</t>
        </is>
      </c>
      <c r="J204" s="17" t="inlineStr">
        <is>
          <t>0.9</t>
        </is>
      </c>
      <c r="K204" s="17" t="inlineStr">
        <is>
          <t>fact</t>
        </is>
      </c>
      <c r="L204" s="17" t="inlineStr">
        <is>
          <t>high</t>
        </is>
      </c>
      <c r="M204" s="17" t="inlineStr">
        <is>
          <t>high</t>
        </is>
      </c>
      <c r="N204" s="17" t="inlineStr">
        <is>
          <t>Manter P4 fora de toda peca publica de 07/09.</t>
        </is>
      </c>
    </row>
    <row r="205">
      <c r="A205" s="17" t="inlineStr">
        <is>
          <t>SA-08A</t>
        </is>
      </c>
      <c r="B205" s="17" t="inlineStr">
        <is>
          <t>company</t>
        </is>
      </c>
      <c r="C205" s="17" t="inlineStr">
        <is>
          <t>ECO-05</t>
        </is>
      </c>
      <c r="D205" s="17" t="inlineStr">
        <is>
          <t>digital_product</t>
        </is>
      </c>
      <c r="E205" s="17" t="inlineStr">
        <is>
          <t>education_platform</t>
        </is>
      </c>
      <c r="F205" s="18" t="inlineStr">
        <is>
          <t>A empresa define o curso como produto-mae e os e-books como recortes aplicados, e nao como quatro produtos independentes.</t>
        </is>
      </c>
      <c r="G205" s="18" t="inlineStr">
        <is>
          <t>Ecossistema: 'Eu nao trataria o curso e os tres e-books como quatro conteudos independentes. O curso e o produto-mae; os e-books sao recortes aplicados e aprofundamentos'; DOC-C09-016: 'Livros digitais funcionam como produto de entrada e aplicacao. Curso funciona como aplicacao guiada.'</t>
        </is>
      </c>
      <c r="H205" s="17" t="inlineStr">
        <is>
          <t>DOC-C05-001;DOC-C09-016</t>
        </is>
      </c>
      <c r="I205" s="17" t="inlineStr">
        <is>
          <t>strong</t>
        </is>
      </c>
      <c r="J205" s="17" t="inlineStr">
        <is>
          <t>0.9</t>
        </is>
      </c>
      <c r="K205" s="17" t="inlineStr">
        <is>
          <t>fact</t>
        </is>
      </c>
      <c r="L205" s="17" t="inlineStr">
        <is>
          <t>high</t>
        </is>
      </c>
      <c r="M205" s="17" t="inlineStr">
        <is>
          <t>medium</t>
        </is>
      </c>
      <c r="N205" s="18" t="inlineStr">
        <is>
          <t>Refletir essa hierarquia na loja e na biblioteca: e-book como entrada, curso como destino, bundle como oferta principal.</t>
        </is>
      </c>
    </row>
    <row r="206">
      <c r="A206" s="17" t="inlineStr">
        <is>
          <t>SA-08B</t>
        </is>
      </c>
      <c r="B206" s="17" t="inlineStr">
        <is>
          <t>customer</t>
        </is>
      </c>
      <c r="C206" s="17" t="inlineStr">
        <is>
          <t>ECO-05</t>
        </is>
      </c>
      <c r="D206" s="17" t="inlineStr">
        <is>
          <t>digital_product</t>
        </is>
      </c>
      <c r="E206" s="17" t="n"/>
      <c r="F206" s="18" t="inlineStr">
        <is>
          <t>Do lado do cliente, o acervo tem estrutura de produto detalhada e nenhuma evidencia de demanda validada para infoprodutos.</t>
        </is>
      </c>
      <c r="G206" s="18" t="inlineStr">
        <is>
          <t>Dashboard QL-000058, 'Decisao de Gate 1 - testar mais': 'A equipe decidiu, no Gate 1 do processo, que o proximo passo e testar mais antes de avancar para o desenvolvimento completo do aplicativo, dado que ainda faltam validacoes de disposicao de pagamento e eficacia da proposta de valor'.</t>
        </is>
      </c>
      <c r="H206" s="17" t="inlineStr">
        <is>
          <t>DOC-C07-009</t>
        </is>
      </c>
      <c r="I206" s="17" t="inlineStr">
        <is>
          <t>moderate</t>
        </is>
      </c>
      <c r="J206" s="17" t="inlineStr">
        <is>
          <t>0.8</t>
        </is>
      </c>
      <c r="K206" s="17" t="inlineStr">
        <is>
          <t>gap</t>
        </is>
      </c>
      <c r="L206" s="17" t="inlineStr">
        <is>
          <t>high</t>
        </is>
      </c>
      <c r="M206" s="17" t="inlineStr">
        <is>
          <t>high</t>
        </is>
      </c>
      <c r="N206" s="18" t="inlineStr">
        <is>
          <t>Fazer do 07/09 o teste de Gate 1 para a linha digital, com meta de numero de compras e nao de numero de publicacoes.</t>
        </is>
      </c>
    </row>
    <row r="207">
      <c r="A207" s="17" t="inlineStr">
        <is>
          <t>SA-08C</t>
        </is>
      </c>
      <c r="B207" s="17" t="inlineStr">
        <is>
          <t>competitor</t>
        </is>
      </c>
      <c r="C207" s="17" t="inlineStr">
        <is>
          <t>ECO-04</t>
        </is>
      </c>
      <c r="D207" s="17" t="inlineStr">
        <is>
          <t>physical_product</t>
        </is>
      </c>
      <c r="E207" s="17" t="inlineStr">
        <is>
          <t>marketplace</t>
        </is>
      </c>
      <c r="F207" s="18" t="inlineStr">
        <is>
          <t>Do lado do concorrente, o Timer 45 e o unico SKU com concorrencia observada, e ela e de marketplace com preco visivel e avaliacao publica.</t>
        </is>
      </c>
      <c r="G207" s="18" t="inlineStr">
        <is>
          <t>Referencia visual Timer 45: 'Temporizador Cubo | Mercado Livre... Rating for mercadolivre.com.br: 4.7 - 2,450 reviews', 'Frete gratis 1a compra', 'Ate 21x sem juros'.</t>
        </is>
      </c>
      <c r="H207" s="17" t="inlineStr">
        <is>
          <t>DOC-C13-010</t>
        </is>
      </c>
      <c r="I207" s="17" t="inlineStr">
        <is>
          <t>moderate</t>
        </is>
      </c>
      <c r="J207" s="17" t="inlineStr">
        <is>
          <t>0.8</t>
        </is>
      </c>
      <c r="K207" s="17" t="inlineStr">
        <is>
          <t>fact</t>
        </is>
      </c>
      <c r="L207" s="17" t="inlineStr">
        <is>
          <t>high</t>
        </is>
      </c>
      <c r="M207" s="17" t="inlineStr">
        <is>
          <t>medium</t>
        </is>
      </c>
      <c r="N207" s="18" t="inlineStr">
        <is>
          <t>Nao disputar o Timer em preco e prazo com marketplace; disputar somente como componente de um sistema com metodo.</t>
        </is>
      </c>
    </row>
    <row r="208">
      <c r="A208" s="17" t="inlineStr">
        <is>
          <t>SA-08C</t>
        </is>
      </c>
      <c r="B208" s="17" t="inlineStr">
        <is>
          <t>competitor</t>
        </is>
      </c>
      <c r="C208" s="17" t="inlineStr">
        <is>
          <t>ECO-08</t>
        </is>
      </c>
      <c r="D208" s="17" t="inlineStr">
        <is>
          <t>content_community</t>
        </is>
      </c>
      <c r="E208" s="17" t="inlineStr">
        <is>
          <t>social</t>
        </is>
      </c>
      <c r="F208" s="18" t="inlineStr">
        <is>
          <t>O acervo compara o produto com ferramentas de produtividade generalistas, o que define o campo competitivo do conteudo tambem.</t>
        </is>
      </c>
      <c r="G208" s="18" t="inlineStr">
        <is>
          <t>Dashboard QL-000054: 'O Todoist e descrito como eficiente para captura rapida de tarefas, mas limitado para iniciar tarefas'; QL-000053: 'O Trello e descrito como necessitando de plug-ins adicionais para rastrear progresso'; QL-000056: 'adultos com TDAH tenderiam a abandonar sistemas complexos como o Notion'.</t>
        </is>
      </c>
      <c r="H208" s="17" t="inlineStr">
        <is>
          <t>DOC-C07-009</t>
        </is>
      </c>
      <c r="I208" s="17" t="inlineStr">
        <is>
          <t>moderate</t>
        </is>
      </c>
      <c r="J208" s="17" t="inlineStr">
        <is>
          <t>0.75</t>
        </is>
      </c>
      <c r="K208" s="17" t="inlineStr">
        <is>
          <t>fact</t>
        </is>
      </c>
      <c r="L208" s="17" t="inlineStr">
        <is>
          <t>medium</t>
        </is>
      </c>
      <c r="M208" s="17" t="inlineStr">
        <is>
          <t>medium</t>
        </is>
      </c>
      <c r="N208" s="18" t="inlineStr">
        <is>
          <t>Usar essas tres comparacoes como pauta editorial pronta, com CTA de nivel Problema e nao de venda.</t>
        </is>
      </c>
    </row>
    <row r="209">
      <c r="A209" s="17" t="inlineStr">
        <is>
          <t>SA-09A</t>
        </is>
      </c>
      <c r="B209" s="17" t="inlineStr">
        <is>
          <t>strength</t>
        </is>
      </c>
      <c r="C209" s="17" t="inlineStr">
        <is>
          <t>ECO-04</t>
        </is>
      </c>
      <c r="D209" s="17" t="inlineStr">
        <is>
          <t>physical_product</t>
        </is>
      </c>
      <c r="E209" s="17" t="inlineStr">
        <is>
          <t>owned_web</t>
        </is>
      </c>
      <c r="F209" s="18" t="inlineStr">
        <is>
          <t>O Neurobook e o unico SKU proprietario da linha e concentra a liberdade de preco.</t>
        </is>
      </c>
      <c r="G209" s="18" t="inlineStr">
        <is>
          <t>Ecossistema: 'Neurobook - Produto proprietario - Maior capacidade de diferenciacao e, portanto, maior liberdade de preco'; 'O Neurobook e o Office Kit tem mais capacidade de carregar valor de marca e metodologia'; DOC-C09-008 define o Neurobook como 'nucleo analogico'.</t>
        </is>
      </c>
      <c r="H209" s="17" t="inlineStr">
        <is>
          <t>DOC-C05-001;DOC-C09-008</t>
        </is>
      </c>
      <c r="I209" s="17" t="inlineStr">
        <is>
          <t>strong</t>
        </is>
      </c>
      <c r="J209" s="17" t="inlineStr">
        <is>
          <t>0.85</t>
        </is>
      </c>
      <c r="K209" s="17" t="inlineStr">
        <is>
          <t>fact</t>
        </is>
      </c>
      <c r="L209" s="17" t="inlineStr">
        <is>
          <t>high</t>
        </is>
      </c>
      <c r="M209" s="17" t="inlineStr">
        <is>
          <t>medium</t>
        </is>
      </c>
      <c r="N209" s="18" t="inlineStr">
        <is>
          <t>Priorizar a producao do Neurobook sobre os itens de revenda; ele e o unico ativo defensavel da linha.</t>
        </is>
      </c>
    </row>
    <row r="210">
      <c r="A210" s="17" t="inlineStr">
        <is>
          <t>SA-09A</t>
        </is>
      </c>
      <c r="B210" s="17" t="inlineStr">
        <is>
          <t>strength</t>
        </is>
      </c>
      <c r="C210" s="17" t="inlineStr">
        <is>
          <t>ECO-05</t>
        </is>
      </c>
      <c r="D210" s="17" t="inlineStr">
        <is>
          <t>digital_product</t>
        </is>
      </c>
      <c r="E210" s="17" t="inlineStr">
        <is>
          <t>education_platform</t>
        </is>
      </c>
      <c r="F210" s="18" t="inlineStr">
        <is>
          <t>O 4E funciona como espinha proprietaria unica entre e-books, curso, editorial e produto fisico, o que reduz custo de criacao e aumenta coerencia de marca.</t>
        </is>
      </c>
      <c r="G210" s="18" t="inlineStr">
        <is>
          <t>Ecossistema: 'A mesma arquitetura deve aparecer em todos os e-books, cursos, workshops e conteudos educacionais'; 'Use o mesmo 4E dos infoprodutos. Isso cria linguagem unica para a marca inteira'; DOC-C09-016: 'Estrutura comum: Entender, Estruturar, Executar, Evoluir'.</t>
        </is>
      </c>
      <c r="H210" s="17" t="inlineStr">
        <is>
          <t>DOC-C05-001;DOC-C09-016;DOC-C09-013</t>
        </is>
      </c>
      <c r="I210" s="17" t="inlineStr">
        <is>
          <t>strong</t>
        </is>
      </c>
      <c r="J210" s="17" t="inlineStr">
        <is>
          <t>0.9</t>
        </is>
      </c>
      <c r="K210" s="17" t="inlineStr">
        <is>
          <t>fact</t>
        </is>
      </c>
      <c r="L210" s="17" t="inlineStr">
        <is>
          <t>high</t>
        </is>
      </c>
      <c r="M210" s="17" t="inlineStr">
        <is>
          <t>medium</t>
        </is>
      </c>
      <c r="N210" s="18" t="inlineStr">
        <is>
          <t>Manter o 4E como restricao editorial obrigatoria em todo material publicado no lancamento.</t>
        </is>
      </c>
    </row>
    <row r="211">
      <c r="A211" s="17" t="inlineStr">
        <is>
          <t>SA-09A</t>
        </is>
      </c>
      <c r="B211" s="17" t="inlineStr">
        <is>
          <t>strength</t>
        </is>
      </c>
      <c r="C211" s="17" t="inlineStr">
        <is>
          <t>ECO-08</t>
        </is>
      </c>
      <c r="D211" s="17" t="inlineStr">
        <is>
          <t>content_community</t>
        </is>
      </c>
      <c r="E211" s="17" t="inlineStr">
        <is>
          <t>owned_web</t>
        </is>
      </c>
      <c r="F211" s="18" t="inlineStr">
        <is>
          <t>A matriz de 3 pilares por 4 fases cria 12 territorios editoriais permanentes, resolvendo o problema de pauta sem inventar categorias novas.</t>
        </is>
      </c>
      <c r="G211" s="18" t="inlineStr">
        <is>
          <t>Ecossistema: 'Agora existe uma matriz 3 x 4 = 12 territorios editoriais permanentes. Isso ja e suficiente para produzir conteudo por anos sem inventar novas categorias'; pilares 'TDAH x Tarefas, Processos e Projetos | TDAH x Risk Management | Funcoes Executivas'.</t>
        </is>
      </c>
      <c r="H211" s="17" t="inlineStr">
        <is>
          <t>DOC-C05-001</t>
        </is>
      </c>
      <c r="I211" s="17" t="inlineStr">
        <is>
          <t>strong</t>
        </is>
      </c>
      <c r="J211" s="17" t="inlineStr">
        <is>
          <t>0.9</t>
        </is>
      </c>
      <c r="K211" s="17" t="inlineStr">
        <is>
          <t>fact</t>
        </is>
      </c>
      <c r="L211" s="17" t="inlineStr">
        <is>
          <t>high</t>
        </is>
      </c>
      <c r="M211" s="17" t="inlineStr">
        <is>
          <t>medium</t>
        </is>
      </c>
      <c r="N211" s="18" t="inlineStr">
        <is>
          <t>Etiquetar cada peca com pilar e fase no registro de materiais; isso torna a cobertura editorial mensuravel.</t>
        </is>
      </c>
    </row>
    <row r="212">
      <c r="A212" s="17" t="inlineStr">
        <is>
          <t>SA-09B</t>
        </is>
      </c>
      <c r="B212" s="17" t="inlineStr">
        <is>
          <t>weakness</t>
        </is>
      </c>
      <c r="C212" s="17" t="inlineStr">
        <is>
          <t>ECO-04</t>
        </is>
      </c>
      <c r="D212" s="17" t="inlineStr">
        <is>
          <t>physical_product</t>
        </is>
      </c>
      <c r="E212" s="17" t="n"/>
      <c r="F212" s="18" t="inlineStr">
        <is>
          <t>A linha fisica entra no lancamento sem nenhum numero: sem custo, sem preco publicado, sem fornecedor e sem operacao de compra.</t>
        </is>
      </c>
      <c r="G212" s="18" t="inlineStr">
        <is>
          <t>DOC-C09-008: 'Executar Office Kit - medir intencao | Neurobook - preparar apresentacao/lista | Timer 45 - validar custo e preco | Kit de organizacao fisica - preparar apresentacao/lista'; Regra: 'No lancamento, priorizar pagina, lista de interesse e proposta de conjunto quando a operacao de compra ainda nao estiver pronta'.</t>
        </is>
      </c>
      <c r="H212" s="17" t="inlineStr">
        <is>
          <t>DOC-C09-008</t>
        </is>
      </c>
      <c r="I212" s="17" t="inlineStr">
        <is>
          <t>strong</t>
        </is>
      </c>
      <c r="J212" s="17" t="inlineStr">
        <is>
          <t>0.9</t>
        </is>
      </c>
      <c r="K212" s="17" t="inlineStr">
        <is>
          <t>fact</t>
        </is>
      </c>
      <c r="L212" s="17" t="inlineStr">
        <is>
          <t>high</t>
        </is>
      </c>
      <c r="M212" s="17" t="inlineStr">
        <is>
          <t>high</t>
        </is>
      </c>
      <c r="N212" s="18" t="inlineStr">
        <is>
          <t>Assumir explicitamente que ECO-04 lanca como captacao de intencao, e alinhar todas as pecas visuais a essa decisao.</t>
        </is>
      </c>
    </row>
    <row r="213">
      <c r="A213" s="17" t="inlineStr">
        <is>
          <t>SA-09B</t>
        </is>
      </c>
      <c r="B213" s="17" t="inlineStr">
        <is>
          <t>weakness</t>
        </is>
      </c>
      <c r="C213" s="17" t="inlineStr">
        <is>
          <t>ECO-06</t>
        </is>
      </c>
      <c r="D213" s="17" t="inlineStr">
        <is>
          <t>digital_product</t>
        </is>
      </c>
      <c r="E213" s="17" t="n"/>
      <c r="F213" s="18" t="inlineStr">
        <is>
          <t>Nenhum manuscrito, sumario ou capitulo dos livros digitais existe no acervo; existe apenas a especificacao editorial.</t>
        </is>
      </c>
      <c r="G213" s="18" t="inlineStr">
        <is>
          <t>DOC-C09-011 marca os tres titulos como 'estruturar cadastro'; DOC-C13-004 registra que as imagens sao 'referencias de direcao visual e produto' e adverte: 'nao confunda referencia com material aprovado para publicacao'.</t>
        </is>
      </c>
      <c r="H213" s="17" t="inlineStr">
        <is>
          <t>DOC-C09-011;DOC-C13-004</t>
        </is>
      </c>
      <c r="I213" s="17" t="inlineStr">
        <is>
          <t>strong</t>
        </is>
      </c>
      <c r="J213" s="17" t="inlineStr">
        <is>
          <t>0.9</t>
        </is>
      </c>
      <c r="K213" s="17" t="inlineStr">
        <is>
          <t>fact</t>
        </is>
      </c>
      <c r="L213" s="17" t="inlineStr">
        <is>
          <t>high</t>
        </is>
      </c>
      <c r="M213" s="17" t="inlineStr">
        <is>
          <t>high</t>
        </is>
      </c>
      <c r="N213" s="18" t="inlineStr">
        <is>
          <t>Nao anunciar data de entrega de livro que ainda nao tem texto; usar pre-venda com prazo explicito ou lista de espera.</t>
        </is>
      </c>
    </row>
    <row r="214">
      <c r="A214" s="17" t="inlineStr">
        <is>
          <t>SA-09B</t>
        </is>
      </c>
      <c r="B214" s="17" t="inlineStr">
        <is>
          <t>weakness</t>
        </is>
      </c>
      <c r="C214" s="17" t="inlineStr">
        <is>
          <t>ECO-08</t>
        </is>
      </c>
      <c r="D214" s="17" t="inlineStr">
        <is>
          <t>content_community</t>
        </is>
      </c>
      <c r="E214" s="17" t="inlineStr">
        <is>
          <t>social</t>
        </is>
      </c>
      <c r="F214" s="18" t="inlineStr">
        <is>
          <t>Toda a distribuicao planejada depende de plataformas de terceiros e nenhuma linha de base de audiencia esta registrada.</t>
        </is>
      </c>
      <c r="G214" s="18" t="inlineStr">
        <is>
          <t>BMC: '18 ativos, pacote principal, % geral nao informado' e 'metricas nao informadas permanecem desconhecidas'; entregas previstas: 'baseline de visualizacoes, retencao, salvamentos, inscricoes e downloads' - ou seja, a linha de base ainda sera criada.</t>
        </is>
      </c>
      <c r="H214" s="17" t="inlineStr">
        <is>
          <t>DOC-C02-039;DOC-C14-004;DOC-C14-005;DOC-C14-006</t>
        </is>
      </c>
      <c r="I214" s="17" t="inlineStr">
        <is>
          <t>strong</t>
        </is>
      </c>
      <c r="J214" s="17" t="inlineStr">
        <is>
          <t>0.85</t>
        </is>
      </c>
      <c r="K214" s="17" t="inlineStr">
        <is>
          <t>fact</t>
        </is>
      </c>
      <c r="L214" s="17" t="inlineStr">
        <is>
          <t>high</t>
        </is>
      </c>
      <c r="M214" s="17" t="inlineStr">
        <is>
          <t>high</t>
        </is>
      </c>
      <c r="N214" s="18" t="inlineStr">
        <is>
          <t>Registrar contagem inicial de seguidores, inscritos e lista antes de 07/09; sem baseline nenhum resultado do lancamento sera interpretavel.</t>
        </is>
      </c>
    </row>
    <row r="215">
      <c r="A215" s="17" t="inlineStr">
        <is>
          <t>SA-09C</t>
        </is>
      </c>
      <c r="B215" s="17" t="inlineStr">
        <is>
          <t>opportunity</t>
        </is>
      </c>
      <c r="C215" s="17" t="inlineStr">
        <is>
          <t>ECO-06</t>
        </is>
      </c>
      <c r="D215" s="17" t="inlineStr">
        <is>
          <t>digital_product</t>
        </is>
      </c>
      <c r="E215" s="17" t="inlineStr">
        <is>
          <t>owned_web</t>
        </is>
      </c>
      <c r="F215" s="18" t="inlineStr">
        <is>
          <t>O e-book de gestao de riscos e apontado no proprio acervo como o produto mais diferenciador da linha.</t>
        </is>
      </c>
      <c r="G215" s="18" t="inlineStr">
        <is>
          <t>Ecossistema, I2 TDAH Risk Management na Pratica: 'Esse pode ser um dos produtos mais diferenciadores, porque deixa de falar genericamente de produtividade com TDAH e fala de gestao preventiva das consequencias da execucao'.</t>
        </is>
      </c>
      <c r="H215" s="17" t="inlineStr">
        <is>
          <t>DOC-C05-001;DOC-C09-011</t>
        </is>
      </c>
      <c r="I215" s="17" t="inlineStr">
        <is>
          <t>strong</t>
        </is>
      </c>
      <c r="J215" s="17" t="inlineStr">
        <is>
          <t>0.85</t>
        </is>
      </c>
      <c r="K215" s="17" t="inlineStr">
        <is>
          <t>fact</t>
        </is>
      </c>
      <c r="L215" s="17" t="inlineStr">
        <is>
          <t>high</t>
        </is>
      </c>
      <c r="M215" s="17" t="inlineStr">
        <is>
          <t>medium</t>
        </is>
      </c>
      <c r="N215" s="18" t="inlineStr">
        <is>
          <t>Priorizar TDAH e Gestao de Riscos na Pratica como primeiro titulo a fechar, e nao o tutorial generico.</t>
        </is>
      </c>
    </row>
    <row r="216">
      <c r="A216" s="17" t="inlineStr">
        <is>
          <t>SA-09C</t>
        </is>
      </c>
      <c r="B216" s="17" t="inlineStr">
        <is>
          <t>opportunity</t>
        </is>
      </c>
      <c r="C216" s="17" t="inlineStr">
        <is>
          <t>ECO-04</t>
        </is>
      </c>
      <c r="D216" s="17" t="inlineStr">
        <is>
          <t>physical_product</t>
        </is>
      </c>
      <c r="E216" s="17" t="inlineStr">
        <is>
          <t>owned_web</t>
        </is>
      </c>
      <c r="F216" s="18" t="inlineStr">
        <is>
          <t>A integracao fisico-digital por QR e apontada como elo do bundle e nao existe em nenhum concorrente observado.</t>
        </is>
      </c>
      <c r="G216" s="18" t="inlineStr">
        <is>
          <t>Ecossistema, nivel Integracao: 'QR / App Executar / templates - Ligar objeto fisico ao ecossistema digital'; Office Kit inclui 'Neurobook + Timer 45 + Organizacao + componentes de mesa/reprints selecionados'; a mockup mostra 'Reprint + QR - Extras + QR Code'.</t>
        </is>
      </c>
      <c r="H216" s="17" t="inlineStr">
        <is>
          <t>DOC-C05-001;DOC-C13-008</t>
        </is>
      </c>
      <c r="I216" s="17" t="inlineStr">
        <is>
          <t>moderate</t>
        </is>
      </c>
      <c r="J216" s="17" t="inlineStr">
        <is>
          <t>0.8</t>
        </is>
      </c>
      <c r="K216" s="17" t="inlineStr">
        <is>
          <t>fact</t>
        </is>
      </c>
      <c r="L216" s="17" t="inlineStr">
        <is>
          <t>high</t>
        </is>
      </c>
      <c r="M216" s="17" t="inlineStr">
        <is>
          <t>medium</t>
        </is>
      </c>
      <c r="N216" s="18" t="inlineStr">
        <is>
          <t>Tratar o QR como requisito de produto do Neurobook desde a primeira tiragem, nao como acessorio posterior.</t>
        </is>
      </c>
    </row>
    <row r="217">
      <c r="A217" s="17" t="inlineStr">
        <is>
          <t>SA-09D</t>
        </is>
      </c>
      <c r="B217" s="17" t="inlineStr">
        <is>
          <t>threat</t>
        </is>
      </c>
      <c r="C217" s="17" t="inlineStr">
        <is>
          <t>ECO-05</t>
        </is>
      </c>
      <c r="D217" s="17" t="inlineStr">
        <is>
          <t>digital_product</t>
        </is>
      </c>
      <c r="E217" s="17" t="inlineStr">
        <is>
          <t>education_platform</t>
        </is>
      </c>
      <c r="F217" s="18" t="inlineStr">
        <is>
          <t>A ancora de preco baixo do mercado de e-books ameaca o posicionamento premium da edicao interativa.</t>
        </is>
      </c>
      <c r="G217" s="18" t="inlineStr">
        <is>
          <t>Ecossistema: 'O mercado observado tem forte concentracao em preco baixo'; e a decisao de preco: 'Voce entra acessivel, mas nao se coloca na categoria de PDF barato de R$ 9,90'.</t>
        </is>
      </c>
      <c r="H217" s="17" t="inlineStr">
        <is>
          <t>DOC-C05-001</t>
        </is>
      </c>
      <c r="I217" s="17" t="inlineStr">
        <is>
          <t>moderate</t>
        </is>
      </c>
      <c r="J217" s="17" t="inlineStr">
        <is>
          <t>0.75</t>
        </is>
      </c>
      <c r="K217" s="17" t="inlineStr">
        <is>
          <t>fact</t>
        </is>
      </c>
      <c r="L217" s="17" t="inlineStr">
        <is>
          <t>high</t>
        </is>
      </c>
      <c r="M217" s="17" t="inlineStr">
        <is>
          <t>medium</t>
        </is>
      </c>
      <c r="N217" s="18" t="inlineStr">
        <is>
          <t>Nunca oferecer a edicao PDF isolada pelo preco cheio; o PDF e companion, e a interatividade e o que sustenta o preco.</t>
        </is>
      </c>
    </row>
    <row r="218">
      <c r="A218" s="17" t="inlineStr">
        <is>
          <t>SA-09D</t>
        </is>
      </c>
      <c r="B218" s="17" t="inlineStr">
        <is>
          <t>threat</t>
        </is>
      </c>
      <c r="C218" s="17" t="inlineStr">
        <is>
          <t>ECO-08</t>
        </is>
      </c>
      <c r="D218" s="17" t="inlineStr">
        <is>
          <t>content_community</t>
        </is>
      </c>
      <c r="E218" s="17" t="inlineStr">
        <is>
          <t>social</t>
        </is>
      </c>
      <c r="F218" s="18" t="inlineStr">
        <is>
          <t>A politica de plataforma sobre conteudo gerado por IA e um risco de distribuicao e de cadastro simultaneamente.</t>
        </is>
      </c>
      <c r="G218" s="18" t="inlineStr">
        <is>
          <t>Ecossistema: 'A Hotmart hoje tambem exige, no cadastro de e-books, identificacao de autoria e informa que o conteudo nao deve conter trechos copiados da internet ou gerados por IA. Isso e particularmente relevante para o seu workflow: IA pode ajudar no planejamento, taxonomia, pesquisa e revisao, mas eu trataria a redacao final comercial como conteudo autoral seu'.</t>
        </is>
      </c>
      <c r="H218" s="17" t="inlineStr">
        <is>
          <t>DOC-C05-001</t>
        </is>
      </c>
      <c r="I218" s="17" t="inlineStr">
        <is>
          <t>moderate</t>
        </is>
      </c>
      <c r="J218" s="17" t="inlineStr">
        <is>
          <t>0.75</t>
        </is>
      </c>
      <c r="K218" s="17" t="inlineStr">
        <is>
          <t>fact</t>
        </is>
      </c>
      <c r="L218" s="17" t="inlineStr">
        <is>
          <t>high</t>
        </is>
      </c>
      <c r="M218" s="17" t="inlineStr">
        <is>
          <t>medium</t>
        </is>
      </c>
      <c r="N218" s="18" t="inlineStr">
        <is>
          <t>Registrar procedencia autoral de cada peca publicada, nao apenas dos e-books.</t>
        </is>
      </c>
    </row>
    <row r="219">
      <c r="A219" s="17" t="inlineStr">
        <is>
          <t>SA-09D</t>
        </is>
      </c>
      <c r="B219" s="17" t="inlineStr">
        <is>
          <t>threat</t>
        </is>
      </c>
      <c r="C219" s="17" t="inlineStr">
        <is>
          <t>ECO-04</t>
        </is>
      </c>
      <c r="D219" s="17" t="inlineStr">
        <is>
          <t>physical_product</t>
        </is>
      </c>
      <c r="E219" s="17" t="inlineStr">
        <is>
          <t>marketplace</t>
        </is>
      </c>
      <c r="F219" s="18" t="inlineStr">
        <is>
          <t>O ciclo caixa-a-caixa da linha fisica pode travar o lancamento se houver compra de estoque antes de venda confirmada.</t>
        </is>
      </c>
      <c r="G219" s="18" t="inlineStr">
        <is>
          <t>Ecossistema: 'Capital de giro - Dinheiro preso entre compra do produto e recebimento da venda - Este e um dos riscos principais desta linha fisica'; e a fase 04 so autoriza escala 'Baseada na demanda observada... Comprar em quantidade somente apos prova'.</t>
        </is>
      </c>
      <c r="H219" s="17" t="inlineStr">
        <is>
          <t>DOC-C05-001</t>
        </is>
      </c>
      <c r="I219" s="17" t="inlineStr">
        <is>
          <t>strong</t>
        </is>
      </c>
      <c r="J219" s="17" t="inlineStr">
        <is>
          <t>0.85</t>
        </is>
      </c>
      <c r="K219" s="17" t="inlineStr">
        <is>
          <t>fact</t>
        </is>
      </c>
      <c r="L219" s="17" t="inlineStr">
        <is>
          <t>high</t>
        </is>
      </c>
      <c r="M219" s="17" t="inlineStr">
        <is>
          <t>high</t>
        </is>
      </c>
      <c r="N219" s="18" t="inlineStr">
        <is>
          <t>Fixar teto de imobilizacao em estoque por escrito antes de qualquer compra, mesmo de micro lote.</t>
        </is>
      </c>
    </row>
    <row r="220">
      <c r="A220" s="17" t="inlineStr">
        <is>
          <t>SA-10A</t>
        </is>
      </c>
      <c r="B220" s="17" t="inlineStr">
        <is>
          <t>market_attractiveness</t>
        </is>
      </c>
      <c r="C220" s="17" t="inlineStr">
        <is>
          <t>ECO-05</t>
        </is>
      </c>
      <c r="D220" s="17" t="inlineStr">
        <is>
          <t>digital_product</t>
        </is>
      </c>
      <c r="E220" s="17" t="inlineStr">
        <is>
          <t>education_platform</t>
        </is>
      </c>
      <c r="F220" s="18" t="inlineStr">
        <is>
          <t>A atratividade do mercado de infoprodutos e sustentavel por precos observados e taxa de canal conhecida, mas nao por tamanho de mercado.</t>
        </is>
      </c>
      <c r="G220" s="18" t="inlineStr">
        <is>
          <t>O acervo fornece precos praticados (R$ 19,90 a R$ 1.997), taxa de canal (9,9% + R$ 2,49) e escada de precos propria, mas nenhum volume, numero de compradores ou crescimento de categoria.</t>
        </is>
      </c>
      <c r="H220" s="17" t="inlineStr">
        <is>
          <t>DOC-C05-001;DOC-C07-009</t>
        </is>
      </c>
      <c r="I220" s="17" t="inlineStr">
        <is>
          <t>moderate</t>
        </is>
      </c>
      <c r="J220" s="17" t="inlineStr">
        <is>
          <t>0.7</t>
        </is>
      </c>
      <c r="K220" s="17" t="inlineStr">
        <is>
          <t>inference</t>
        </is>
      </c>
      <c r="L220" s="17" t="inlineStr">
        <is>
          <t>medium</t>
        </is>
      </c>
      <c r="M220" s="17" t="inlineStr">
        <is>
          <t>medium</t>
        </is>
      </c>
      <c r="N220" s="18" t="inlineStr">
        <is>
          <t>Avaliar atratividade pela margem de contribuicao por unidade e pela velocidade de producao, nao por tamanho de mercado inexistente.</t>
        </is>
      </c>
    </row>
    <row r="221">
      <c r="A221" s="17" t="inlineStr">
        <is>
          <t>SA-10A</t>
        </is>
      </c>
      <c r="B221" s="17" t="inlineStr">
        <is>
          <t>market_attractiveness</t>
        </is>
      </c>
      <c r="C221" s="17" t="inlineStr">
        <is>
          <t>ECO-04</t>
        </is>
      </c>
      <c r="D221" s="17" t="inlineStr">
        <is>
          <t>physical_product</t>
        </is>
      </c>
      <c r="E221" s="17" t="inlineStr">
        <is>
          <t>marketplace</t>
        </is>
      </c>
      <c r="F221" s="18" t="inlineStr">
        <is>
          <t>A atratividade da linha fisica e baixa no SKU de revenda e desconhecida no SKU proprietario.</t>
        </is>
      </c>
      <c r="G221" s="18" t="inlineStr">
        <is>
          <t>Substitutos do Timer a partir de R$ 28,46 versus preco de fornecedor citado de R$ 39; o Neurobook, unico proprietario, nao tem custo nem preco de mercado comparado no acervo.</t>
        </is>
      </c>
      <c r="H221" s="17" t="inlineStr">
        <is>
          <t>DOC-C13-010;DOC-C05-001</t>
        </is>
      </c>
      <c r="I221" s="17" t="inlineStr">
        <is>
          <t>moderate</t>
        </is>
      </c>
      <c r="J221" s="17" t="inlineStr">
        <is>
          <t>0.7</t>
        </is>
      </c>
      <c r="K221" s="17" t="inlineStr">
        <is>
          <t>inference</t>
        </is>
      </c>
      <c r="L221" s="17" t="inlineStr">
        <is>
          <t>high</t>
        </is>
      </c>
      <c r="M221" s="17" t="inlineStr">
        <is>
          <t>high</t>
        </is>
      </c>
      <c r="N221" s="18" t="inlineStr">
        <is>
          <t>Concentrar o esforco de atratividade no Neurobook e no bundle; abandonar a hipotese de margem em revenda pura.</t>
        </is>
      </c>
    </row>
    <row r="222">
      <c r="A222" s="17" t="inlineStr">
        <is>
          <t>SA-10B</t>
        </is>
      </c>
      <c r="B222" s="17" t="inlineStr">
        <is>
          <t>ability_to_win</t>
        </is>
      </c>
      <c r="C222" s="17" t="inlineStr">
        <is>
          <t>ECO-08</t>
        </is>
      </c>
      <c r="D222" s="17" t="inlineStr">
        <is>
          <t>content_community</t>
        </is>
      </c>
      <c r="E222" s="17" t="inlineStr">
        <is>
          <t>owned_web</t>
        </is>
      </c>
      <c r="F222" s="18" t="inlineStr">
        <is>
          <t>A capacidade de vencer no ecossistema creator repousa em um sistema editorial ja desenhado, operado por uma unica pessoa com 6h/dia.</t>
        </is>
      </c>
      <c r="G222" s="18" t="inlineStr">
        <is>
          <t>Ecossistema define matriz 3x4, schema de 10 blocos por peca, 12 projecoes por conteudo e cadeia unica de 13 camadas; a capacidade e '6 horas executaveis/dia' com '60h comprometidas + 12h de reserva'.</t>
        </is>
      </c>
      <c r="H222" s="17" t="inlineStr">
        <is>
          <t>DOC-C05-001;DOC-C08-008</t>
        </is>
      </c>
      <c r="I222" s="17" t="inlineStr">
        <is>
          <t>strong</t>
        </is>
      </c>
      <c r="J222" s="17" t="inlineStr">
        <is>
          <t>0.8</t>
        </is>
      </c>
      <c r="K222" s="17" t="inlineStr">
        <is>
          <t>inference</t>
        </is>
      </c>
      <c r="L222" s="17" t="inlineStr">
        <is>
          <t>high</t>
        </is>
      </c>
      <c r="M222" s="17" t="inlineStr">
        <is>
          <t>high</t>
        </is>
      </c>
      <c r="N222" s="18" t="inlineStr">
        <is>
          <t>Reduzir de 4 canais de distribuicao para 1 no lancamento e expandir depois; o sistema e forte, a capacidade e o gargalo.</t>
        </is>
      </c>
    </row>
    <row r="223">
      <c r="A223" s="17" t="inlineStr">
        <is>
          <t>SA-10B</t>
        </is>
      </c>
      <c r="B223" s="17" t="inlineStr">
        <is>
          <t>ability_to_win</t>
        </is>
      </c>
      <c r="C223" s="17" t="inlineStr">
        <is>
          <t>ECO-06</t>
        </is>
      </c>
      <c r="D223" s="17" t="inlineStr">
        <is>
          <t>digital_product</t>
        </is>
      </c>
      <c r="E223" s="17" t="inlineStr">
        <is>
          <t>owned_web</t>
        </is>
      </c>
      <c r="F223" s="18" t="inlineStr">
        <is>
          <t>A capacidade de vencer com o livro autoral depende de validacao externa que ainda nao comecou.</t>
        </is>
      </c>
      <c r="G223" s="18" t="inlineStr">
        <is>
          <t>texto 2.txt, Passo 02: 'Valide intelectualmente com uma scoping review, seguida de critica de pelo menos 5 pessoas de campos diferentes... e depois um piloto exploratorio com 10-20 participantes'; MASTER_INDEX RC-029: 'White paper e DOI - PENDENTE - So avancar apos artigo fundador e revisao de literatura'.</t>
        </is>
      </c>
      <c r="H223" s="17" t="inlineStr">
        <is>
          <t>DOC-C02-042;DOC-C02-002</t>
        </is>
      </c>
      <c r="I223" s="17" t="inlineStr">
        <is>
          <t>strong</t>
        </is>
      </c>
      <c r="J223" s="17" t="inlineStr">
        <is>
          <t>0.85</t>
        </is>
      </c>
      <c r="K223" s="17" t="inlineStr">
        <is>
          <t>fact</t>
        </is>
      </c>
      <c r="L223" s="17" t="inlineStr">
        <is>
          <t>medium</t>
        </is>
      </c>
      <c r="M223" s="17" t="inlineStr">
        <is>
          <t>low</t>
        </is>
      </c>
      <c r="N223" s="18" t="inlineStr">
        <is>
          <t>Comecar pelo contato com os 10 interlocutores ja mapeados; a validacao externa e o caminho critico do livro.</t>
        </is>
      </c>
    </row>
    <row r="224">
      <c r="A224" s="17" t="inlineStr">
        <is>
          <t>SA-10B</t>
        </is>
      </c>
      <c r="B224" s="17" t="inlineStr">
        <is>
          <t>ability_to_win</t>
        </is>
      </c>
      <c r="C224" s="17" t="inlineStr">
        <is>
          <t>ECO-04</t>
        </is>
      </c>
      <c r="D224" s="17" t="inlineStr">
        <is>
          <t>physical_product</t>
        </is>
      </c>
      <c r="E224" s="17" t="n"/>
      <c r="F224" s="18" t="inlineStr">
        <is>
          <t>A capacidade de vencer na linha fisica e hoje indeterminavel porque a competencia central exigida (suprimento e logistica) nao foi avaliada em nenhum documento.</t>
        </is>
      </c>
      <c r="G224" s="18" t="inlineStr">
        <is>
          <t>Nenhum documento de ECO-04 (DOC-C09-007, DOC-C09-008, DOC-C12-008, DOC-C13-004) menciona fornecedor, importacao, armazenagem, expedicao, devolucao ou atendimento pos-venda.</t>
        </is>
      </c>
      <c r="H224" s="17" t="inlineStr">
        <is>
          <t>DOC-C09-007;DOC-C09-008;DOC-C12-008;DOC-C13-004</t>
        </is>
      </c>
      <c r="I224" s="17" t="inlineStr">
        <is>
          <t>strong</t>
        </is>
      </c>
      <c r="J224" s="17" t="inlineStr">
        <is>
          <t>0.85</t>
        </is>
      </c>
      <c r="K224" s="17" t="inlineStr">
        <is>
          <t>gap</t>
        </is>
      </c>
      <c r="L224" s="17" t="inlineStr">
        <is>
          <t>high</t>
        </is>
      </c>
      <c r="M224" s="17" t="inlineStr">
        <is>
          <t>high</t>
        </is>
      </c>
      <c r="N224" s="18" t="inlineStr">
        <is>
          <t>Fazer uma avaliacao honesta de capacidade logistica antes de prometer compra; a alternativa e print-on-demand ou parceiro.</t>
        </is>
      </c>
    </row>
    <row r="225">
      <c r="A225" s="17" t="inlineStr">
        <is>
          <t>SA-11A</t>
        </is>
      </c>
      <c r="B225" s="17" t="inlineStr">
        <is>
          <t>where_to_play</t>
        </is>
      </c>
      <c r="C225" s="17" t="inlineStr">
        <is>
          <t>ECO-04</t>
        </is>
      </c>
      <c r="D225" s="17" t="inlineStr">
        <is>
          <t>physical_product</t>
        </is>
      </c>
      <c r="E225" s="17" t="inlineStr">
        <is>
          <t>owned_web</t>
        </is>
      </c>
      <c r="F225" s="18" t="inlineStr">
        <is>
          <t>A escolha declarada e jogar primeiro em intencao e nao em venda, com estoque proximo de zero.</t>
        </is>
      </c>
      <c r="G225" s="18" t="inlineStr">
        <is>
          <t>Ecossistema, Estrategia de validacao: '01 Intencao - 0-1 amostra - Pagina completa do produto - Medir cliques, lista de espera, interesse'; DOC-C09-008: 'priorizar pagina, lista de interesse e proposta de conjunto quando a operacao de compra ainda nao estiver pronta'.</t>
        </is>
      </c>
      <c r="H225" s="17" t="inlineStr">
        <is>
          <t>DOC-C05-001;DOC-C09-008</t>
        </is>
      </c>
      <c r="I225" s="17" t="inlineStr">
        <is>
          <t>strong</t>
        </is>
      </c>
      <c r="J225" s="17" t="inlineStr">
        <is>
          <t>0.9</t>
        </is>
      </c>
      <c r="K225" s="17" t="inlineStr">
        <is>
          <t>fact</t>
        </is>
      </c>
      <c r="L225" s="17" t="inlineStr">
        <is>
          <t>high</t>
        </is>
      </c>
      <c r="M225" s="17" t="inlineStr">
        <is>
          <t>high</t>
        </is>
      </c>
      <c r="N225" s="18" t="inlineStr">
        <is>
          <t>Publicar em 07/09 a pagina de produto completa com lista de interesse e sem checkout, exatamente como a regra determina.</t>
        </is>
      </c>
    </row>
    <row r="226">
      <c r="A226" s="17" t="inlineStr">
        <is>
          <t>SA-11A</t>
        </is>
      </c>
      <c r="B226" s="17" t="inlineStr">
        <is>
          <t>where_to_play</t>
        </is>
      </c>
      <c r="C226" s="17" t="inlineStr">
        <is>
          <t>ECO-05</t>
        </is>
      </c>
      <c r="D226" s="17" t="inlineStr">
        <is>
          <t>digital_product</t>
        </is>
      </c>
      <c r="E226" s="17" t="inlineStr">
        <is>
          <t>education_platform</t>
        </is>
      </c>
      <c r="F226" s="18" t="inlineStr">
        <is>
          <t>A escolha e jogar em dois canais simultaneos, pagina propria e Hotmart, com a mesma mensagem e oferta.</t>
        </is>
      </c>
      <c r="G226" s="18" t="inlineStr">
        <is>
          <t>DOC-C09-016: 'A pagina propria e a Hotmart devem apontar para a mesma mensagem e oferta'; DOC-C09-015 lista o cadastro Hotmart completo incluindo 'preco', 'pagina de venda/destino' e 'teste de compra quando possivel'.</t>
        </is>
      </c>
      <c r="H226" s="17" t="inlineStr">
        <is>
          <t>DOC-C09-016;DOC-C09-015</t>
        </is>
      </c>
      <c r="I226" s="17" t="inlineStr">
        <is>
          <t>strong</t>
        </is>
      </c>
      <c r="J226" s="17" t="inlineStr">
        <is>
          <t>0.9</t>
        </is>
      </c>
      <c r="K226" s="17" t="inlineStr">
        <is>
          <t>fact</t>
        </is>
      </c>
      <c r="L226" s="17" t="inlineStr">
        <is>
          <t>high</t>
        </is>
      </c>
      <c r="M226" s="17" t="inlineStr">
        <is>
          <t>high</t>
        </is>
      </c>
      <c r="N226" s="18" t="inlineStr">
        <is>
          <t>Escrever uma unica copy canonica e reutiliza-la nos dois destinos, para evitar divergencia de preco e promessa.</t>
        </is>
      </c>
    </row>
    <row r="227">
      <c r="A227" s="17" t="inlineStr">
        <is>
          <t>SA-11A</t>
        </is>
      </c>
      <c r="B227" s="17" t="inlineStr">
        <is>
          <t>where_to_play</t>
        </is>
      </c>
      <c r="C227" s="17" t="inlineStr">
        <is>
          <t>ECO-06</t>
        </is>
      </c>
      <c r="D227" s="17" t="inlineStr">
        <is>
          <t>digital_product</t>
        </is>
      </c>
      <c r="E227" s="17" t="inlineStr">
        <is>
          <t>owned_web</t>
        </is>
      </c>
      <c r="F227" s="18" t="inlineStr">
        <is>
          <t>O destino declarado dos livros digitais e a pagina Biblioteca, cujo objetivo esta descrito como aprofundamento e nao como venda.</t>
        </is>
      </c>
      <c r="G227" s="18" t="inlineStr">
        <is>
          <t>DOC-C12-009, Biblioteca: 'Objetivo: organizar conteudo e aprofundamento. Chamada principal: CH-003 / CH-007'; o registro de chamadas define CH-003 'Explorar a biblioteca' e CH-007 'Ver o livro - ligacao de afiliado'; a chamada de livro digital e CH-004, que aponta para a Loja.</t>
        </is>
      </c>
      <c r="H227" s="17" t="inlineStr">
        <is>
          <t>DOC-C12-009;DOC-C08-004;DOC-C12-008</t>
        </is>
      </c>
      <c r="I227" s="17" t="inlineStr">
        <is>
          <t>strong</t>
        </is>
      </c>
      <c r="J227" s="17" t="inlineStr">
        <is>
          <t>0.85</t>
        </is>
      </c>
      <c r="K227" s="17" t="inlineStr">
        <is>
          <t>conflict</t>
        </is>
      </c>
      <c r="L227" s="17" t="inlineStr">
        <is>
          <t>high</t>
        </is>
      </c>
      <c r="M227" s="17" t="inlineStr">
        <is>
          <t>high</t>
        </is>
      </c>
      <c r="N227" s="18" t="inlineStr">
        <is>
          <t>Decidir se o livro digital e vendido na Loja (CH-004) ou exposto na Biblioteca (CH-003); hoje a Biblioteca leva a afiliado e nao a produto proprio.</t>
        </is>
      </c>
    </row>
    <row r="228">
      <c r="A228" s="17" t="inlineStr">
        <is>
          <t>SA-11A</t>
        </is>
      </c>
      <c r="B228" s="17" t="inlineStr">
        <is>
          <t>where_to_play</t>
        </is>
      </c>
      <c r="C228" s="17" t="inlineStr">
        <is>
          <t>ECO-08</t>
        </is>
      </c>
      <c r="D228" s="17" t="inlineStr">
        <is>
          <t>content_community</t>
        </is>
      </c>
      <c r="E228" s="17" t="inlineStr">
        <is>
          <t>social</t>
        </is>
      </c>
      <c r="F228" s="18" t="inlineStr">
        <is>
          <t>O acervo define quatro canais proprios e quatro de distribuicao, com o blog como fonte canonica.</t>
        </is>
      </c>
      <c r="G228" s="18" t="inlineStr">
        <is>
          <t>Ecossistema, Arquitetura das plataformas: 'OWNED 01 executar.com / Blog - Fonte canonica do conteudo | OWNED 02 Biblioteca Executar | OWNED 03 E-mail / newsletter | OWNED 04 Executar / comunidade futura | DISTRIBUICAO 01 YouTube | 02 Instagram | 03 TikTok | 04 LinkedIn'.</t>
        </is>
      </c>
      <c r="H228" s="17" t="inlineStr">
        <is>
          <t>DOC-C05-001;DOC-C14-004;DOC-C14-005;DOC-C14-006</t>
        </is>
      </c>
      <c r="I228" s="17" t="inlineStr">
        <is>
          <t>strong</t>
        </is>
      </c>
      <c r="J228" s="17" t="inlineStr">
        <is>
          <t>0.9</t>
        </is>
      </c>
      <c r="K228" s="17" t="inlineStr">
        <is>
          <t>fact</t>
        </is>
      </c>
      <c r="L228" s="17" t="inlineStr">
        <is>
          <t>high</t>
        </is>
      </c>
      <c r="M228" s="17" t="inlineStr">
        <is>
          <t>high</t>
        </is>
      </c>
      <c r="N228" s="18" t="inlineStr">
        <is>
          <t>Confirmar que os quatro canais de distribuicao cabem nas 5h de 'Publicacao e agenda' antes de anunciar presenca em todos.</t>
        </is>
      </c>
    </row>
    <row r="229">
      <c r="A229" s="17" t="inlineStr">
        <is>
          <t>SA-11B</t>
        </is>
      </c>
      <c r="B229" s="17" t="inlineStr">
        <is>
          <t>how_to_win</t>
        </is>
      </c>
      <c r="C229" s="17" t="inlineStr">
        <is>
          <t>ECO-04</t>
        </is>
      </c>
      <c r="D229" s="17" t="inlineStr">
        <is>
          <t>physical_product</t>
        </is>
      </c>
      <c r="E229" s="17" t="inlineStr">
        <is>
          <t>owned_web</t>
        </is>
      </c>
      <c r="F229" s="18" t="inlineStr">
        <is>
          <t>A forma de vencer declarada e vender sistema e nao objeto, com desconto de bundle derivado da margem e nao arbitrado.</t>
        </is>
      </c>
      <c r="G229" s="18" t="inlineStr">
        <is>
          <t>Ecossistema, 'Como estruturar o desconto do kit': '1 Definir preco individual sustentavel para cada SKU | 2 Somar todos os precos individuais | 3 Calcular o custo variavel real do kit | 4 Definir a margem minima aceitavel do bundle | 5 So entao encontrar o desconto maximo possivel | 6 Comunicar economize R$ X comprando o sistema completo'; e o alerta 'Nao faria: somar tudo, tirar 20% arbitrariamente'.</t>
        </is>
      </c>
      <c r="H229" s="17" t="inlineStr">
        <is>
          <t>DOC-C05-001</t>
        </is>
      </c>
      <c r="I229" s="17" t="inlineStr">
        <is>
          <t>strong</t>
        </is>
      </c>
      <c r="J229" s="17" t="inlineStr">
        <is>
          <t>0.9</t>
        </is>
      </c>
      <c r="K229" s="17" t="inlineStr">
        <is>
          <t>fact</t>
        </is>
      </c>
      <c r="L229" s="17" t="inlineStr">
        <is>
          <t>high</t>
        </is>
      </c>
      <c r="M229" s="17" t="inlineStr">
        <is>
          <t>high</t>
        </is>
      </c>
      <c r="N229" s="18" t="inlineStr">
        <is>
          <t>Executar as seis etapas na ordem antes de qualquer numero publico do Office Kit.</t>
        </is>
      </c>
    </row>
    <row r="230">
      <c r="A230" s="17" t="inlineStr">
        <is>
          <t>SA-11B</t>
        </is>
      </c>
      <c r="B230" s="17" t="inlineStr">
        <is>
          <t>how_to_win</t>
        </is>
      </c>
      <c r="C230" s="17" t="inlineStr">
        <is>
          <t>ECO-05</t>
        </is>
      </c>
      <c r="D230" s="17" t="inlineStr">
        <is>
          <t>digital_product</t>
        </is>
      </c>
      <c r="E230" s="17" t="inlineStr">
        <is>
          <t>education_platform</t>
        </is>
      </c>
      <c r="F230" s="18" t="inlineStr">
        <is>
          <t>A forma de vencer no infoproduto e por experiencia interativa e nao por volume de conteudo.</t>
        </is>
      </c>
      <c r="G230" s="18" t="inlineStr">
        <is>
          <t>Ecossistema: 'Eu nao usaria numero de paginas como metrica principal, porque o produto e interativo'; padrao: 'Macrofases 4 | Capitulos principais 12-16 | PDF equivalente ~60-100 paginas visuais | Exercicios centrais 8-12 | Mapas/diagramas 12+ | Checkpoints interativos 1+ por capitulo'.</t>
        </is>
      </c>
      <c r="H230" s="17" t="inlineStr">
        <is>
          <t>DOC-C05-001</t>
        </is>
      </c>
      <c r="I230" s="17" t="inlineStr">
        <is>
          <t>strong</t>
        </is>
      </c>
      <c r="J230" s="17" t="inlineStr">
        <is>
          <t>0.85</t>
        </is>
      </c>
      <c r="K230" s="17" t="inlineStr">
        <is>
          <t>fact</t>
        </is>
      </c>
      <c r="L230" s="17" t="inlineStr">
        <is>
          <t>high</t>
        </is>
      </c>
      <c r="M230" s="17" t="inlineStr">
        <is>
          <t>medium</t>
        </is>
      </c>
      <c r="N230" s="18" t="inlineStr">
        <is>
          <t>Usar o padrao de 12-16 capitulos e 8-12 exercicios como definicao de pronto do primeiro titulo.</t>
        </is>
      </c>
    </row>
    <row r="231">
      <c r="A231" s="17" t="inlineStr">
        <is>
          <t>SA-11B</t>
        </is>
      </c>
      <c r="B231" s="17" t="inlineStr">
        <is>
          <t>how_to_win</t>
        </is>
      </c>
      <c r="C231" s="17" t="inlineStr">
        <is>
          <t>ECO-06</t>
        </is>
      </c>
      <c r="D231" s="17" t="inlineStr">
        <is>
          <t>digital_product</t>
        </is>
      </c>
      <c r="E231" s="17" t="inlineStr">
        <is>
          <t>owned_web</t>
        </is>
      </c>
      <c r="F231" s="18" t="inlineStr">
        <is>
          <t>A forma de vencer com o livro autoral e delimitar a reivindicacao a integracao especifica, e nao ao ineditismo.</t>
        </is>
      </c>
      <c r="G231" s="18" t="inlineStr">
        <is>
          <t>BMC, Prevencao: 'Manter a reivindicacao restrita a integracao especifica entre funcoes executivas, risco de execucao, controles compensatorios e gestao de projetos, submetendo-a a revisao e tentativa de falsificacao'.</t>
        </is>
      </c>
      <c r="H231" s="17" t="inlineStr">
        <is>
          <t>DOC-C02-039;DOC-C02-042</t>
        </is>
      </c>
      <c r="I231" s="17" t="inlineStr">
        <is>
          <t>strong</t>
        </is>
      </c>
      <c r="J231" s="17" t="inlineStr">
        <is>
          <t>0.9</t>
        </is>
      </c>
      <c r="K231" s="17" t="inlineStr">
        <is>
          <t>fact</t>
        </is>
      </c>
      <c r="L231" s="17" t="inlineStr">
        <is>
          <t>high</t>
        </is>
      </c>
      <c r="M231" s="17" t="inlineStr">
        <is>
          <t>medium</t>
        </is>
      </c>
      <c r="N231" s="18" t="inlineStr">
        <is>
          <t>Usar essa frase como trava de escopo do livro e do white paper.</t>
        </is>
      </c>
    </row>
    <row r="232">
      <c r="A232" s="17" t="inlineStr">
        <is>
          <t>SA-11B</t>
        </is>
      </c>
      <c r="B232" s="17" t="inlineStr">
        <is>
          <t>how_to_win</t>
        </is>
      </c>
      <c r="C232" s="17" t="inlineStr">
        <is>
          <t>ECO-08</t>
        </is>
      </c>
      <c r="D232" s="17" t="inlineStr">
        <is>
          <t>content_community</t>
        </is>
      </c>
      <c r="E232" s="17" t="inlineStr">
        <is>
          <t>owned_web</t>
        </is>
      </c>
      <c r="F232" s="18" t="inlineStr">
        <is>
          <t>A forma de vencer no ecossistema creator e converter plataforma alugada em ativo proprio a cada peca.</t>
        </is>
      </c>
      <c r="G232" s="18" t="inlineStr">
        <is>
          <t>Ecossistema, cadeia unica de valor editorial: '07 Distribuicao multicanal Alcance | 08 Biblioteca / newsletter Retencao'; e o ciclo 'PESQUISAR, ENTENDER, ESTRUTURAR, EXECUTAR, EVOLUIR, DOCUMENTAR, PUBLICAR, CONVERTER, APRENDER, PESQUISAR'.</t>
        </is>
      </c>
      <c r="H232" s="17" t="inlineStr">
        <is>
          <t>DOC-C05-001</t>
        </is>
      </c>
      <c r="I232" s="17" t="inlineStr">
        <is>
          <t>strong</t>
        </is>
      </c>
      <c r="J232" s="17" t="inlineStr">
        <is>
          <t>0.85</t>
        </is>
      </c>
      <c r="K232" s="17" t="inlineStr">
        <is>
          <t>fact</t>
        </is>
      </c>
      <c r="L232" s="17" t="inlineStr">
        <is>
          <t>high</t>
        </is>
      </c>
      <c r="M232" s="17" t="inlineStr">
        <is>
          <t>high</t>
        </is>
      </c>
      <c r="N232" s="18" t="inlineStr">
        <is>
          <t>Definir a metrica primaria do lancamento como inscricoes na lista e nao como alcance nas redes.</t>
        </is>
      </c>
    </row>
    <row r="233">
      <c r="A233" s="17" t="inlineStr">
        <is>
          <t>SA-12</t>
        </is>
      </c>
      <c r="B233" s="17" t="inlineStr">
        <is>
          <t>requirements</t>
        </is>
      </c>
      <c r="C233" s="17" t="inlineStr">
        <is>
          <t>ECO-04</t>
        </is>
      </c>
      <c r="D233" s="17" t="inlineStr">
        <is>
          <t>physical_product</t>
        </is>
      </c>
      <c r="E233" s="17" t="inlineStr">
        <is>
          <t>owned_web</t>
        </is>
      </c>
      <c r="F233" s="18" t="inlineStr">
        <is>
          <t>O requisito minimo da linha fisica no lancamento e uma pagina de produto com lista de interesse e chamada CH-009.</t>
        </is>
      </c>
      <c r="G233" s="18" t="inlineStr">
        <is>
          <t>DOC-C08-004, registro de chamadas: 'CH-009 | Conhecer o Office Kit | produto/lista de interesse | Produtos fisicos | criar destino'; DOC-C08-006: 'RT-005 | loja | preencher | verificar'; DOC-C08-003: 'Conteudo de produto fisico depende de Pagina de produto ou lista de interesse'.</t>
        </is>
      </c>
      <c r="H233" s="17" t="inlineStr">
        <is>
          <t>DOC-C08-004;DOC-C08-006;DOC-C08-003</t>
        </is>
      </c>
      <c r="I233" s="17" t="inlineStr">
        <is>
          <t>strong</t>
        </is>
      </c>
      <c r="J233" s="17" t="inlineStr">
        <is>
          <t>0.9</t>
        </is>
      </c>
      <c r="K233" s="17" t="inlineStr">
        <is>
          <t>fact</t>
        </is>
      </c>
      <c r="L233" s="17" t="inlineStr">
        <is>
          <t>high</t>
        </is>
      </c>
      <c r="M233" s="17" t="inlineStr">
        <is>
          <t>high</t>
        </is>
      </c>
      <c r="N233" s="18" t="inlineStr">
        <is>
          <t>Fechar o destino de CH-009 e a rota RT-005 antes de qualquer peca editorial que mencione produto fisico.</t>
        </is>
      </c>
    </row>
    <row r="234">
      <c r="A234" s="17" t="inlineStr">
        <is>
          <t>SA-12</t>
        </is>
      </c>
      <c r="B234" s="17" t="inlineStr">
        <is>
          <t>requirements</t>
        </is>
      </c>
      <c r="C234" s="17" t="inlineStr">
        <is>
          <t>ECO-05</t>
        </is>
      </c>
      <c r="D234" s="17" t="inlineStr">
        <is>
          <t>digital_product</t>
        </is>
      </c>
      <c r="E234" s="17" t="inlineStr">
        <is>
          <t>education_platform</t>
        </is>
      </c>
      <c r="F234" s="18" t="inlineStr">
        <is>
          <t>O requisito de cadastro do infoproduto tem dez itens explicitos, dos quais preco e area de membros ainda nao tem valor definido na nota.</t>
        </is>
      </c>
      <c r="G234" s="18" t="inlineStr">
        <is>
          <t>DOC-C09-015, 'Cadastrar': 'produto; autoria; descricao; capa; preco; arquivos ou area de membros; pagina de venda/destino; termos aplicaveis; ligacao de pagamento; teste de compra quando possivel'; 'Evidencia: Registrar ligacao final e captura/estado de aprovacao ou disponibilidade'.</t>
        </is>
      </c>
      <c r="H234" s="17" t="inlineStr">
        <is>
          <t>DOC-C09-015</t>
        </is>
      </c>
      <c r="I234" s="17" t="inlineStr">
        <is>
          <t>strong</t>
        </is>
      </c>
      <c r="J234" s="17" t="inlineStr">
        <is>
          <t>0.9</t>
        </is>
      </c>
      <c r="K234" s="17" t="inlineStr">
        <is>
          <t>fact</t>
        </is>
      </c>
      <c r="L234" s="17" t="inlineStr">
        <is>
          <t>high</t>
        </is>
      </c>
      <c r="M234" s="17" t="inlineStr">
        <is>
          <t>high</t>
        </is>
      </c>
      <c r="N234" s="18" t="inlineStr">
        <is>
          <t>Preencher os dez campos com os valores ja decididos em DOC-C05-001 e anexar a evidencia de aprovacao.</t>
        </is>
      </c>
    </row>
    <row r="235">
      <c r="A235" s="17" t="inlineStr">
        <is>
          <t>SA-12</t>
        </is>
      </c>
      <c r="B235" s="17" t="inlineStr">
        <is>
          <t>requirements</t>
        </is>
      </c>
      <c r="C235" s="17" t="inlineStr">
        <is>
          <t>ECO-05</t>
        </is>
      </c>
      <c r="D235" s="17" t="inlineStr">
        <is>
          <t>digital_product</t>
        </is>
      </c>
      <c r="E235" s="17" t="inlineStr">
        <is>
          <t>education_platform</t>
        </is>
      </c>
      <c r="F235" s="18" t="inlineStr">
        <is>
          <t>O requisito do curso inclui declarar o que esta disponivel no lancamento e o que tem data posterior.</t>
        </is>
      </c>
      <c r="G235" s="18" t="inlineStr">
        <is>
          <t>DOC-C09-013, 'Para fechar no lancamento': 'descricao e promessa; estrutura dos modulos; condicao de lancamento; pagina/cadastro; chamada CH-005; indicar claramente o que esta disponivel no lancamento e o que possui data posterior, se aplicavel'.</t>
        </is>
      </c>
      <c r="H235" s="17" t="inlineStr">
        <is>
          <t>DOC-C09-013;DOC-C08-004</t>
        </is>
      </c>
      <c r="I235" s="17" t="inlineStr">
        <is>
          <t>strong</t>
        </is>
      </c>
      <c r="J235" s="17" t="inlineStr">
        <is>
          <t>0.9</t>
        </is>
      </c>
      <c r="K235" s="17" t="inlineStr">
        <is>
          <t>fact</t>
        </is>
      </c>
      <c r="L235" s="17" t="inlineStr">
        <is>
          <t>high</t>
        </is>
      </c>
      <c r="M235" s="17" t="inlineStr">
        <is>
          <t>high</t>
        </is>
      </c>
      <c r="N235" s="18" t="inlineStr">
        <is>
          <t>Publicar a grade completa com marcacao de disponibilidade por modulo; e requisito de honestidade ja escrito na propria nota.</t>
        </is>
      </c>
    </row>
    <row r="236">
      <c r="A236" s="17" t="inlineStr">
        <is>
          <t>SA-12</t>
        </is>
      </c>
      <c r="B236" s="17" t="inlineStr">
        <is>
          <t>requirements</t>
        </is>
      </c>
      <c r="C236" s="17" t="inlineStr">
        <is>
          <t>ECO-06</t>
        </is>
      </c>
      <c r="D236" s="17" t="inlineStr">
        <is>
          <t>digital_product</t>
        </is>
      </c>
      <c r="E236" s="17" t="inlineStr">
        <is>
          <t>owned_web</t>
        </is>
      </c>
      <c r="F236" s="18" t="inlineStr">
        <is>
          <t>O requisito do livro digital inclui formato duplo, interativo mais PDF complementar, o que dobra o entregavel por titulo.</t>
        </is>
      </c>
      <c r="G236" s="18" t="inlineStr">
        <is>
          <t>DOC-C09-011, 'Para fechar': 'capa e descricao; estrutura 4E; formato interativo + PDF complementar; preco/condicao inicial; pagina propria; cadastro Hotmart; chamada CH-004'.</t>
        </is>
      </c>
      <c r="H236" s="17" t="inlineStr">
        <is>
          <t>DOC-C09-011;DOC-C08-004</t>
        </is>
      </c>
      <c r="I236" s="17" t="inlineStr">
        <is>
          <t>strong</t>
        </is>
      </c>
      <c r="J236" s="17" t="inlineStr">
        <is>
          <t>0.9</t>
        </is>
      </c>
      <c r="K236" s="17" t="inlineStr">
        <is>
          <t>fact</t>
        </is>
      </c>
      <c r="L236" s="17" t="inlineStr">
        <is>
          <t>high</t>
        </is>
      </c>
      <c r="M236" s="17" t="inlineStr">
        <is>
          <t>high</t>
        </is>
      </c>
      <c r="N236" s="18" t="inlineStr">
        <is>
          <t>Reduzir a um formato por titulo para 07/09; tres titulos em formato duplo nao cabem em 6h de ofertas e cadastros.</t>
        </is>
      </c>
    </row>
    <row r="237">
      <c r="A237" s="17" t="inlineStr">
        <is>
          <t>SA-12</t>
        </is>
      </c>
      <c r="B237" s="17" t="inlineStr">
        <is>
          <t>requirements</t>
        </is>
      </c>
      <c r="C237" s="17" t="inlineStr">
        <is>
          <t>ECO-08</t>
        </is>
      </c>
      <c r="D237" s="17" t="inlineStr">
        <is>
          <t>content_community</t>
        </is>
      </c>
      <c r="E237" s="17" t="inlineStr">
        <is>
          <t>affiliate</t>
        </is>
      </c>
      <c r="F237" s="18" t="inlineStr">
        <is>
          <t>O requisito de afiliados tem seis itens e uma restricao editorial explicita de uso.</t>
        </is>
      </c>
      <c r="G237" s="18" t="inlineStr">
        <is>
          <t>DOC-C09-018, 'Para fechar': 'cadastrar programa de afiliados; criar identificadores por canal; gerar ligacoes de associado; registrar aviso de transparencia; inserir apenas em conteudos em que a referencia seja realmente usada; testar CH-007'; nucleo inicial: Barkley 'Vencendo o TDAH Adulto', Barkley 'Executive Functions', Ana Beatriz Barbosa Silva 'Mentes Inquietas'.</t>
        </is>
      </c>
      <c r="H237" s="17" t="inlineStr">
        <is>
          <t>DOC-C09-018;DOC-C08-004</t>
        </is>
      </c>
      <c r="I237" s="17" t="inlineStr">
        <is>
          <t>strong</t>
        </is>
      </c>
      <c r="J237" s="17" t="inlineStr">
        <is>
          <t>0.9</t>
        </is>
      </c>
      <c r="K237" s="17" t="inlineStr">
        <is>
          <t>fact</t>
        </is>
      </c>
      <c r="L237" s="17" t="inlineStr">
        <is>
          <t>medium</t>
        </is>
      </c>
      <c r="M237" s="17" t="inlineStr">
        <is>
          <t>high</t>
        </is>
      </c>
      <c r="N237" s="18" t="inlineStr">
        <is>
          <t>Disparar o cadastro Amazon no D1, ja que e dependencia externa com tempo de aprovacao fora do controle.</t>
        </is>
      </c>
    </row>
    <row r="238">
      <c r="A238" s="17" t="inlineStr">
        <is>
          <t>SA-12</t>
        </is>
      </c>
      <c r="B238" s="17" t="inlineStr">
        <is>
          <t>requirements</t>
        </is>
      </c>
      <c r="C238" s="17" t="inlineStr">
        <is>
          <t>ECO-04</t>
        </is>
      </c>
      <c r="D238" s="17" t="inlineStr">
        <is>
          <t>physical_product</t>
        </is>
      </c>
      <c r="E238" s="17" t="inlineStr">
        <is>
          <t>owned_web</t>
        </is>
      </c>
      <c r="F238" s="18" t="inlineStr">
        <is>
          <t>A pagina Loja e requisito compartilhado por produtos fisicos e infoprodutos, com escopo ainda nao delimitado.</t>
        </is>
      </c>
      <c r="G238" s="18" t="inlineStr">
        <is>
          <t>DOC-C12-008, Loja: 'Objetivo: produtos fisicos + infoprodutos. Chamada principal: CH-004 / CH-009. Fechar: confirmar texto canonico; confirmar rota; conferir imagens; conferir chamadas; conferir celular; testar medicao'.</t>
        </is>
      </c>
      <c r="H238" s="17" t="inlineStr">
        <is>
          <t>DOC-C12-008;DOC-C08-004</t>
        </is>
      </c>
      <c r="I238" s="17" t="inlineStr">
        <is>
          <t>strong</t>
        </is>
      </c>
      <c r="J238" s="17" t="inlineStr">
        <is>
          <t>0.85</t>
        </is>
      </c>
      <c r="K238" s="17" t="inlineStr">
        <is>
          <t>fact</t>
        </is>
      </c>
      <c r="L238" s="17" t="inlineStr">
        <is>
          <t>high</t>
        </is>
      </c>
      <c r="M238" s="17" t="inlineStr">
        <is>
          <t>high</t>
        </is>
      </c>
      <c r="N238" s="18" t="inlineStr">
        <is>
          <t>Definir a arquitetura da Loja antes de produzir imagens: uma vitrine unica ou duas secoes com economias diferentes.</t>
        </is>
      </c>
    </row>
    <row r="239">
      <c r="A239" s="17" t="inlineStr">
        <is>
          <t>SA-13</t>
        </is>
      </c>
      <c r="B239" s="17" t="inlineStr">
        <is>
          <t>gtm</t>
        </is>
      </c>
      <c r="C239" s="17" t="inlineStr">
        <is>
          <t>ECO-04</t>
        </is>
      </c>
      <c r="D239" s="17" t="inlineStr">
        <is>
          <t>physical_product</t>
        </is>
      </c>
      <c r="E239" s="17" t="inlineStr">
        <is>
          <t>owned_web</t>
        </is>
      </c>
      <c r="F239" s="18" t="inlineStr">
        <is>
          <t>Todas as ofertas, inclusive a fisica, precisam estar prontas para receber trafego no D3, 27/08, com 6 horas planejadas.</t>
        </is>
      </c>
      <c r="G239" s="18" t="inlineStr">
        <is>
          <t>DOC-C15-006: 'Resultado do dia: Ofertas prontas para receber trafego'; fila: '1 Fechar apresentacao do aplicativo, Estudio e produtos fisicos'; 'horas_planejadas: 6'; 'Concluido quando: Ofertas tem mensagem, destino, chamada e caminho de conversao definidos'.</t>
        </is>
      </c>
      <c r="H239" s="17" t="inlineStr">
        <is>
          <t>DOC-C15-006;DOC-C08-011</t>
        </is>
      </c>
      <c r="I239" s="17" t="inlineStr">
        <is>
          <t>strong</t>
        </is>
      </c>
      <c r="J239" s="17" t="inlineStr">
        <is>
          <t>0.9</t>
        </is>
      </c>
      <c r="K239" s="17" t="inlineStr">
        <is>
          <t>fact</t>
        </is>
      </c>
      <c r="L239" s="17" t="inlineStr">
        <is>
          <t>high</t>
        </is>
      </c>
      <c r="M239" s="17" t="inlineStr">
        <is>
          <t>high</t>
        </is>
      </c>
      <c r="N239" s="18" t="inlineStr">
        <is>
          <t>Tratar 27/08 como o gate real da linha fisica; o que nao tiver destino nesse dia nao deve aparecer no lancamento.</t>
        </is>
      </c>
    </row>
    <row r="240">
      <c r="A240" s="17" t="inlineStr">
        <is>
          <t>SA-13</t>
        </is>
      </c>
      <c r="B240" s="17" t="inlineStr">
        <is>
          <t>gtm</t>
        </is>
      </c>
      <c r="C240" s="17" t="inlineStr">
        <is>
          <t>ECO-05</t>
        </is>
      </c>
      <c r="D240" s="17" t="inlineStr">
        <is>
          <t>digital_product</t>
        </is>
      </c>
      <c r="E240" s="17" t="inlineStr">
        <is>
          <t>education_platform</t>
        </is>
      </c>
      <c r="F240" s="18" t="inlineStr">
        <is>
          <t>O mesmo D3 concentra o cadastro dos tres livros digitais, do curso e da Hotmart, alem dos afiliados e formularios.</t>
        </is>
      </c>
      <c r="G240" s="18" t="inlineStr">
        <is>
          <t>DOC-C15-006, fila unica do dia: '2 Preparar cadastro dos tres livros digitais e do curso. 3 Configurar ou deixar pronto para configuracao o cadastro Hotmart. 4 Configurar afiliados e gerar as primeiras ligacoes quando a conta estiver habilitada. 5 Testar formularios de servico e captacao.'</t>
        </is>
      </c>
      <c r="H240" s="17" t="inlineStr">
        <is>
          <t>DOC-C15-006;DOC-C09-015</t>
        </is>
      </c>
      <c r="I240" s="17" t="inlineStr">
        <is>
          <t>strong</t>
        </is>
      </c>
      <c r="J240" s="17" t="inlineStr">
        <is>
          <t>0.9</t>
        </is>
      </c>
      <c r="K240" s="17" t="inlineStr">
        <is>
          <t>fact</t>
        </is>
      </c>
      <c r="L240" s="17" t="inlineStr">
        <is>
          <t>high</t>
        </is>
      </c>
      <c r="M240" s="17" t="inlineStr">
        <is>
          <t>high</t>
        </is>
      </c>
      <c r="N240" s="18" t="inlineStr">
        <is>
          <t>Reduzir o escopo do D3 ou antecipar o cadastro externo; cinco frentes de commerce em 6h e a maior concentracao de risco do plano.</t>
        </is>
      </c>
    </row>
    <row r="241">
      <c r="A241" s="17" t="inlineStr">
        <is>
          <t>SA-13</t>
        </is>
      </c>
      <c r="B241" s="17" t="inlineStr">
        <is>
          <t>gtm</t>
        </is>
      </c>
      <c r="C241" s="17" t="inlineStr">
        <is>
          <t>ECO-05</t>
        </is>
      </c>
      <c r="D241" s="17" t="inlineStr">
        <is>
          <t>digital_product</t>
        </is>
      </c>
      <c r="E241" s="17" t="inlineStr">
        <is>
          <t>education_platform</t>
        </is>
      </c>
      <c r="F241" s="18" t="inlineStr">
        <is>
          <t>O criterio de congelamento em 05/09 exige que as ofertas digitais estejam cadastradas e a medicao funcionando.</t>
        </is>
      </c>
      <c r="G241" s="18" t="inlineStr">
        <is>
          <t>DOC-C08-007, '05/09 congelamento': 'ofertas digitais estao cadastradas; ligacoes de afiliado estao identificadas; pecas editoriais estao publicadas ou agendadas; demonstracoes estao acessiveis; materiais para redes estao agendados; medicao basica funciona; nao existe entrega critica aguardando producao'.</t>
        </is>
      </c>
      <c r="H241" s="17" t="inlineStr">
        <is>
          <t>DOC-C08-007;DOC-C16-005</t>
        </is>
      </c>
      <c r="I241" s="17" t="inlineStr">
        <is>
          <t>strong</t>
        </is>
      </c>
      <c r="J241" s="17" t="inlineStr">
        <is>
          <t>0.9</t>
        </is>
      </c>
      <c r="K241" s="17" t="inlineStr">
        <is>
          <t>fact</t>
        </is>
      </c>
      <c r="L241" s="17" t="inlineStr">
        <is>
          <t>high</t>
        </is>
      </c>
      <c r="M241" s="17" t="inlineStr">
        <is>
          <t>high</t>
        </is>
      </c>
      <c r="N241" s="18" t="inlineStr">
        <is>
          <t>Usar essa lista como checklist literal de go/no-go em 05/09, item por item, com evidencia anexada.</t>
        </is>
      </c>
    </row>
    <row r="242">
      <c r="A242" s="17" t="inlineStr">
        <is>
          <t>SA-13</t>
        </is>
      </c>
      <c r="B242" s="17" t="inlineStr">
        <is>
          <t>gtm</t>
        </is>
      </c>
      <c r="C242" s="17" t="inlineStr">
        <is>
          <t>ECO-08</t>
        </is>
      </c>
      <c r="D242" s="17" t="inlineStr">
        <is>
          <t>content_community</t>
        </is>
      </c>
      <c r="E242" s="17" t="inlineStr">
        <is>
          <t>social</t>
        </is>
      </c>
      <c r="F242" s="18" t="inlineStr">
        <is>
          <t>Os tres canais sociais tem nota de publicacao criada, mas todas estao em situacao 'planejado' e sem grade de datas.</t>
        </is>
      </c>
      <c r="G242" s="18" t="inlineStr">
        <is>
          <t>DOC-C14-004 (YouTube): 'situacao: planejado. Carregar video, titulo, descricao, miniatura, chamada e agenda'; DOC-C14-005 (Instagram e TikTok): 'Publicar/adaptar videos curtos e pecas visuais com destino claro'; DOC-C14-006 (LinkedIn): 'Adaptar o conteudo para argumento tecnico/profissional e apontar para a fonte canonica'; a agenda mestra tem todas as datas como 'preencher'.</t>
        </is>
      </c>
      <c r="H242" s="17" t="inlineStr">
        <is>
          <t>DOC-C14-004;DOC-C14-005;DOC-C14-006;DOC-C14-007</t>
        </is>
      </c>
      <c r="I242" s="17" t="inlineStr">
        <is>
          <t>strong</t>
        </is>
      </c>
      <c r="J242" s="17" t="inlineStr">
        <is>
          <t>0.9</t>
        </is>
      </c>
      <c r="K242" s="17" t="inlineStr">
        <is>
          <t>fact</t>
        </is>
      </c>
      <c r="L242" s="17" t="inlineStr">
        <is>
          <t>high</t>
        </is>
      </c>
      <c r="M242" s="17" t="inlineStr">
        <is>
          <t>high</t>
        </is>
      </c>
      <c r="N242" s="18" t="inlineStr">
        <is>
          <t>Preencher a agenda mestra com datas reais no D10 (03/09); sem datas, os tres canais nao passam o gate de congelamento.</t>
        </is>
      </c>
    </row>
    <row r="243">
      <c r="A243" s="17" t="inlineStr">
        <is>
          <t>SA-13</t>
        </is>
      </c>
      <c r="B243" s="17" t="inlineStr">
        <is>
          <t>gtm</t>
        </is>
      </c>
      <c r="C243" s="17" t="inlineStr">
        <is>
          <t>ECO-08</t>
        </is>
      </c>
      <c r="D243" s="17" t="inlineStr">
        <is>
          <t>content_community</t>
        </is>
      </c>
      <c r="E243" s="17" t="inlineStr">
        <is>
          <t>owned_web</t>
        </is>
      </c>
      <c r="F243" s="18" t="inlineStr">
        <is>
          <t>A medicao prevista cobre a cadeia completa de conversao, incluindo o elo de afiliado.</t>
        </is>
      </c>
      <c r="G243" s="18" t="inlineStr">
        <is>
          <t>DOC-C16-003, Medicao 001: 'chamada para destino; formulario para recebimento; pagamento/cadastro para confirmacao; download para arquivo; afiliado para ligacao identificada; principais eventos de acesso/conversao'.</t>
        </is>
      </c>
      <c r="H243" s="17" t="inlineStr">
        <is>
          <t>DOC-C16-003;DOC-C16-006</t>
        </is>
      </c>
      <c r="I243" s="17" t="inlineStr">
        <is>
          <t>strong</t>
        </is>
      </c>
      <c r="J243" s="17" t="inlineStr">
        <is>
          <t>0.9</t>
        </is>
      </c>
      <c r="K243" s="17" t="inlineStr">
        <is>
          <t>fact</t>
        </is>
      </c>
      <c r="L243" s="17" t="inlineStr">
        <is>
          <t>high</t>
        </is>
      </c>
      <c r="M243" s="17" t="inlineStr">
        <is>
          <t>high</t>
        </is>
      </c>
      <c r="N243" s="18" t="inlineStr">
        <is>
          <t>Testar os seis elos no D11 (04/09) e registrar a evidencia; e o unico ponto do plano onde a conversao inteira e verificada.</t>
        </is>
      </c>
    </row>
    <row r="244">
      <c r="A244" s="17" t="inlineStr">
        <is>
          <t>SA-13</t>
        </is>
      </c>
      <c r="B244" s="17" t="inlineStr">
        <is>
          <t>gtm</t>
        </is>
      </c>
      <c r="C244" s="17" t="inlineStr">
        <is>
          <t>ECO-06</t>
        </is>
      </c>
      <c r="D244" s="17" t="inlineStr">
        <is>
          <t>digital_product</t>
        </is>
      </c>
      <c r="E244" s="17" t="inlineStr">
        <is>
          <t>owned_web</t>
        </is>
      </c>
      <c r="F244" s="18" t="inlineStr">
        <is>
          <t>O livro digital e a unica oferta cuja chamada aparece duas vezes no registro, em CH-004 (loja) e indiretamente pela Biblioteca.</t>
        </is>
      </c>
      <c r="G244" s="18" t="inlineStr">
        <is>
          <t>DOC-C08-004: 'CH-004 | Aplicar com o livro digital | livro digital correspondente | Infoproduto | cadastrar'; DOC-C12-008 define a Loja com 'CH-004 / CH-009'; DOC-C12-009 define a Biblioteca com 'CH-003 / CH-007'.</t>
        </is>
      </c>
      <c r="H244" s="17" t="inlineStr">
        <is>
          <t>DOC-C08-004;DOC-C12-008;DOC-C12-009</t>
        </is>
      </c>
      <c r="I244" s="17" t="inlineStr">
        <is>
          <t>strong</t>
        </is>
      </c>
      <c r="J244" s="17" t="inlineStr">
        <is>
          <t>0.85</t>
        </is>
      </c>
      <c r="K244" s="17" t="inlineStr">
        <is>
          <t>fact</t>
        </is>
      </c>
      <c r="L244" s="17" t="inlineStr">
        <is>
          <t>medium</t>
        </is>
      </c>
      <c r="M244" s="17" t="inlineStr">
        <is>
          <t>high</t>
        </is>
      </c>
      <c r="N244" s="18" t="inlineStr">
        <is>
          <t>Fixar CH-004 como unica rota de compra de livro digital e usar a Biblioteca apenas para descoberta.</t>
        </is>
      </c>
    </row>
    <row r="245">
      <c r="A245" s="17" t="inlineStr">
        <is>
          <t>SA-13</t>
        </is>
      </c>
      <c r="B245" s="17" t="inlineStr">
        <is>
          <t>gtm</t>
        </is>
      </c>
      <c r="C245" s="17" t="inlineStr">
        <is>
          <t>ECO-04</t>
        </is>
      </c>
      <c r="D245" s="17" t="inlineStr">
        <is>
          <t>physical_product</t>
        </is>
      </c>
      <c r="E245" s="17" t="inlineStr">
        <is>
          <t>owned_web</t>
        </is>
      </c>
      <c r="F245" s="18" t="inlineStr">
        <is>
          <t>A regra de passagem do lancamento e sequencial e bloqueante, o que significa que um atraso na linha fisica trava os dias seguintes.</t>
        </is>
      </c>
      <c r="G245" s="18" t="inlineStr">
        <is>
          <t>DOC-C18-002, Regra de passagem: 'Um dia so libera o seguinte quando o resultado, a evidencia e as pendencias criticas daquele dia estiverem fechados'; DOC-C08-011: 'Entre no dia atual e permaneca nele ate concluir. Cada dia libera o seguinte'.</t>
        </is>
      </c>
      <c r="H245" s="17" t="inlineStr">
        <is>
          <t>DOC-C18-002;DOC-C08-011</t>
        </is>
      </c>
      <c r="I245" s="17" t="inlineStr">
        <is>
          <t>strong</t>
        </is>
      </c>
      <c r="J245" s="17" t="inlineStr">
        <is>
          <t>0.9</t>
        </is>
      </c>
      <c r="K245" s="17" t="inlineStr">
        <is>
          <t>fact</t>
        </is>
      </c>
      <c r="L245" s="17" t="inlineStr">
        <is>
          <t>high</t>
        </is>
      </c>
      <c r="M245" s="17" t="inlineStr">
        <is>
          <t>high</t>
        </is>
      </c>
      <c r="N245" s="18" t="inlineStr">
        <is>
          <t>Definir antecipadamente o criterio de 'pronto o suficiente' para produtos fisicos, senao a unidade menos madura bloqueia a fila.</t>
        </is>
      </c>
    </row>
    <row r="246">
      <c r="A246" s="17" t="inlineStr">
        <is>
          <t>SA-03A</t>
        </is>
      </c>
      <c r="B246" s="17" t="inlineStr">
        <is>
          <t>unit_boundary</t>
        </is>
      </c>
      <c r="C246" s="17" t="inlineStr">
        <is>
          <t>ECO-06</t>
        </is>
      </c>
      <c r="D246" s="17" t="inlineStr">
        <is>
          <t>digital_product</t>
        </is>
      </c>
      <c r="E246" s="17" t="inlineStr">
        <is>
          <t>owned_web</t>
        </is>
      </c>
      <c r="F246" s="18" t="inlineStr">
        <is>
          <t>A fronteira ECO-06 esta contida dentro de ECO-05 na propria arvore de pastas e na nota de visao: livros digitais sao um filho de Infoprodutos.</t>
        </is>
      </c>
      <c r="G246" s="18" t="inlineStr">
        <is>
          <t>ARVORE-DE-PASTAS.txt: '01-OFERTAS/ ... 04-INFOPRODUTOS/ 01-LIVROS-DIGITAIS/ 02-CURSO/ 03-HOTMART/'; DOC-C09-016 lista sob 'Mergulhe aqui': 'Livros digitais | Curso | Hotmart'; DOC-C09-009 lista as pastas 'Livros Digitais, Curso, Hotmart' como subpastas de Infoprodutos.</t>
        </is>
      </c>
      <c r="H246" s="17" t="inlineStr">
        <is>
          <t>DOC-C18-003;DOC-C09-016;DOC-C09-009;DOC-C09-010</t>
        </is>
      </c>
      <c r="I246" s="17" t="inlineStr">
        <is>
          <t>strong</t>
        </is>
      </c>
      <c r="J246" s="17" t="inlineStr">
        <is>
          <t>0.95</t>
        </is>
      </c>
      <c r="K246" s="17" t="inlineStr">
        <is>
          <t>conflict</t>
        </is>
      </c>
      <c r="L246" s="17" t="inlineStr">
        <is>
          <t>high</t>
        </is>
      </c>
      <c r="M246" s="17" t="inlineStr">
        <is>
          <t>high</t>
        </is>
      </c>
      <c r="N246" s="18" t="inlineStr">
        <is>
          <t>Nao arbitrar em silencio: ou ECO-06 e redefinida como sub-linha de ECO-05, ou o acervo precisa separar fisicamente o livro autoral dos e-books comerciais.</t>
        </is>
      </c>
    </row>
    <row r="247">
      <c r="A247" s="17" t="inlineStr">
        <is>
          <t>SA-03A</t>
        </is>
      </c>
      <c r="B247" s="17" t="inlineStr">
        <is>
          <t>unit_boundary</t>
        </is>
      </c>
      <c r="C247" s="17" t="inlineStr">
        <is>
          <t>ECO-06</t>
        </is>
      </c>
      <c r="D247" s="17" t="inlineStr">
        <is>
          <t>digital_product</t>
        </is>
      </c>
      <c r="E247" s="17" t="n"/>
      <c r="F247" s="18" t="inlineStr">
        <is>
          <t>Existem dois objetos distintos chamados livro no acervo, e apenas um deles esta na pasta de infoprodutos.</t>
        </is>
      </c>
      <c r="G247" s="18" t="inlineStr">
        <is>
          <t>Objeto A - livros digitais comerciais: DOC-C09-011 'Aplicando o TDAH Adulto | TDAH e Gestao de Riscos na Pratica | Gerenciando o TDAH Adulto 360', estado 'estruturar cadastro'. Objeto B - livro autoral de expansao intelectual: MASTER_INDEX RC-028 'artigo/manifesto v0, white paper/framework v1, aplicacao no EXECUTAR, casos/dados, artigo academico, livro/curso', prazo DEPOIS; texto 2.txt: 'white paper/livro/curso = expansao intelectual'.</t>
        </is>
      </c>
      <c r="H247" s="17" t="inlineStr">
        <is>
          <t>DOC-C09-011;DOC-C02-002;DOC-C02-042</t>
        </is>
      </c>
      <c r="I247" s="17" t="inlineStr">
        <is>
          <t>strong</t>
        </is>
      </c>
      <c r="J247" s="17" t="inlineStr">
        <is>
          <t>0.9</t>
        </is>
      </c>
      <c r="K247" s="17" t="inlineStr">
        <is>
          <t>conflict</t>
        </is>
      </c>
      <c r="L247" s="17" t="inlineStr">
        <is>
          <t>high</t>
        </is>
      </c>
      <c r="M247" s="17" t="inlineStr">
        <is>
          <t>high</t>
        </is>
      </c>
      <c r="N247" s="18" t="inlineStr">
        <is>
          <t>Separar nominalmente as duas coisas: e-books Executar (ECO-05/06 comercial) e Livro Risco Cognitivo (ativo intelectual pos-white paper).</t>
        </is>
      </c>
    </row>
    <row r="248">
      <c r="A248" s="17" t="inlineStr">
        <is>
          <t>SA-05</t>
        </is>
      </c>
      <c r="B248" s="17" t="inlineStr">
        <is>
          <t>catalog_conflict</t>
        </is>
      </c>
      <c r="C248" s="17" t="inlineStr">
        <is>
          <t>ECO-06</t>
        </is>
      </c>
      <c r="D248" s="17" t="inlineStr">
        <is>
          <t>digital_product</t>
        </is>
      </c>
      <c r="E248" s="17" t="inlineStr">
        <is>
          <t>owned_web</t>
        </is>
      </c>
      <c r="F248" s="18" t="inlineStr">
        <is>
          <t>O catalogo de livros na peca visual diverge do catalogo do documento de oferta: cinco titulos versus tres, sem o titulo de gestao de riscos.</t>
        </is>
      </c>
      <c r="G248" s="18" t="inlineStr">
        <is>
          <t>DOC-C09-011 lista tres linhas: 'Aplicando o TDAH Adulto | TDAH e Gestao de Riscos na Pratica | Gerenciando o TDAH Adulto 360'. A referencia visual da biblioteca mostra cinco capas: 'Aplicando o TDAH Adulto (Adultos) | TDAH Kids (Kids) | Gerenciando o TDAH Adulto (Adultos) | Gerenciando o TDAH Kids (Familias) | Automacoes Neuroadaptadas (Automacoes)'. Em DOC-C05-001, Kids e automacoes constam como 'I4+ Kids, familias, automacoes etc. - Biblioteca futura - Roadmap'.</t>
        </is>
      </c>
      <c r="H248" s="17" t="inlineStr">
        <is>
          <t>DOC-C09-011;DOC-C13-005;DOC-C05-001</t>
        </is>
      </c>
      <c r="I248" s="17" t="inlineStr">
        <is>
          <t>strong</t>
        </is>
      </c>
      <c r="J248" s="17" t="inlineStr">
        <is>
          <t>0.9</t>
        </is>
      </c>
      <c r="K248" s="17" t="inlineStr">
        <is>
          <t>conflict</t>
        </is>
      </c>
      <c r="L248" s="17" t="inlineStr">
        <is>
          <t>high</t>
        </is>
      </c>
      <c r="M248" s="17" t="inlineStr">
        <is>
          <t>high</t>
        </is>
      </c>
      <c r="N248" s="18" t="inlineStr">
        <is>
          <t>Refazer a peca da biblioteca com o catalogo real de lancamento ou adiar a peca; publicar cinco capas de tres livros existentes cria promessa falsa.</t>
        </is>
      </c>
    </row>
    <row r="249">
      <c r="A249" s="17" t="inlineStr">
        <is>
          <t>SA-12</t>
        </is>
      </c>
      <c r="B249" s="17" t="inlineStr">
        <is>
          <t>naming_conflict</t>
        </is>
      </c>
      <c r="C249" s="17" t="inlineStr">
        <is>
          <t>ECO-05</t>
        </is>
      </c>
      <c r="D249" s="17" t="inlineStr">
        <is>
          <t>digital_product</t>
        </is>
      </c>
      <c r="E249" s="17" t="inlineStr">
        <is>
          <t>education_platform</t>
        </is>
      </c>
      <c r="F249" s="18" t="inlineStr">
        <is>
          <t>O nome 'Gerenciando o TDAH Adulto' identifica ao mesmo tempo o curso, um e-book na capa de referencia e um e-book '360' na nota de oferta.</t>
        </is>
      </c>
      <c r="G249" s="18" t="inlineStr">
        <is>
          <t>DOC-C09-013: 'Curso - Gerenciando o TDAH Adulto'. DOC-C09-011: e-book 'Gerenciando o TDAH Adulto 360 - visao sistemica'. Referencia visual: capa com selo 'E-book' e titulo 'GERENCIANDO O TDAH ADULTO - Trabalho, foco e execucao - Projetos, clientes, processos, rotina'.</t>
        </is>
      </c>
      <c r="H249" s="17" t="inlineStr">
        <is>
          <t>DOC-C09-013;DOC-C09-011;DOC-C13-007</t>
        </is>
      </c>
      <c r="I249" s="17" t="inlineStr">
        <is>
          <t>strong</t>
        </is>
      </c>
      <c r="J249" s="17" t="inlineStr">
        <is>
          <t>0.9</t>
        </is>
      </c>
      <c r="K249" s="17" t="inlineStr">
        <is>
          <t>conflict</t>
        </is>
      </c>
      <c r="L249" s="17" t="inlineStr">
        <is>
          <t>high</t>
        </is>
      </c>
      <c r="M249" s="17" t="inlineStr">
        <is>
          <t>high</t>
        </is>
      </c>
      <c r="N249" s="18" t="inlineStr">
        <is>
          <t>Renomear um dos dois antes do cadastro; nomes identicos em SKUs de precos diferentes quebram a escada comercial e o checkout.</t>
        </is>
      </c>
    </row>
    <row r="250">
      <c r="A250" s="17" t="inlineStr">
        <is>
          <t>SA-06B</t>
        </is>
      </c>
      <c r="B250" s="17" t="inlineStr">
        <is>
          <t>pricing_conflict</t>
        </is>
      </c>
      <c r="C250" s="17" t="inlineStr">
        <is>
          <t>ECO-04</t>
        </is>
      </c>
      <c r="D250" s="17" t="inlineStr">
        <is>
          <t>physical_product</t>
        </is>
      </c>
      <c r="E250" s="17" t="inlineStr">
        <is>
          <t>owned_web</t>
        </is>
      </c>
      <c r="F250" s="18" t="inlineStr">
        <is>
          <t>Existem duas versoes incompativeis do bundle fisico: uma composicao com Timer e organizacao a R$ 369 e outra so de papelaria a R$ 349.</t>
        </is>
      </c>
      <c r="G250" s="18" t="inlineStr">
        <is>
          <t>Versao A - DOC-C09-008 e DOC-C05-001: 'Executar Office Kit: Neurobook + Timer 45 + Organizacao + componentes de mesa/reprints selecionados'; exemplo 'Neurobook R$ 149 + Timer R$ 119 + Organizacao R$ 79 + acessorios R$ 99 = R$ 446... Se o kit for R$ 369'. Versao B - referencia visual: 'Kit TDAH Planner Reprint, R$ 349,00 ou 6x de R$ 58,17', incluindo 'Sprint Planner, Neuroagenda, Rolo de Etiquetas, Reguas de Acrilico, Reprint + QR' - sem Timer e sem saquinhos.</t>
        </is>
      </c>
      <c r="H250" s="17" t="inlineStr">
        <is>
          <t>DOC-C09-008;DOC-C05-001;DOC-C13-008</t>
        </is>
      </c>
      <c r="I250" s="17" t="inlineStr">
        <is>
          <t>strong</t>
        </is>
      </c>
      <c r="J250" s="17" t="inlineStr">
        <is>
          <t>0.9</t>
        </is>
      </c>
      <c r="K250" s="17" t="inlineStr">
        <is>
          <t>conflict</t>
        </is>
      </c>
      <c r="L250" s="17" t="inlineStr">
        <is>
          <t>high</t>
        </is>
      </c>
      <c r="M250" s="17" t="inlineStr">
        <is>
          <t>high</t>
        </is>
      </c>
      <c r="N250" s="18" t="inlineStr">
        <is>
          <t>Escolher uma composicao e um nome unicos antes de produzir qualquer imagem publica; hoje ha dois produtos diferentes com o mesmo papel.</t>
        </is>
      </c>
    </row>
    <row r="251">
      <c r="A251" s="17" t="inlineStr">
        <is>
          <t>SA-13</t>
        </is>
      </c>
      <c r="B251" s="17" t="inlineStr">
        <is>
          <t>readiness_conflict</t>
        </is>
      </c>
      <c r="C251" s="17" t="inlineStr">
        <is>
          <t>ECO-04</t>
        </is>
      </c>
      <c r="D251" s="17" t="inlineStr">
        <is>
          <t>physical_product</t>
        </is>
      </c>
      <c r="E251" s="17" t="inlineStr">
        <is>
          <t>owned_web</t>
        </is>
      </c>
      <c r="F251" s="18" t="inlineStr">
        <is>
          <t>A peca visual mostra operacao de compra completa enquanto a regra da unidade determina lancar sem operacao de compra.</t>
        </is>
      </c>
      <c r="G251" s="18" t="inlineStr">
        <is>
          <t>DOC-C09-008: 'No lancamento, priorizar pagina, lista de interesse e proposta de conjunto quando a operacao de compra ainda nao estiver pronta'. Referencia visual: botao 'ADICIONAR AO CARRINHO', carrinho com 1 item, 'ou 6x de R$ 58,17', 'Compra 100% segura', 'Frete gratis acima de R$ 199'.</t>
        </is>
      </c>
      <c r="H251" s="17" t="inlineStr">
        <is>
          <t>DOC-C09-008;DOC-C13-008</t>
        </is>
      </c>
      <c r="I251" s="17" t="inlineStr">
        <is>
          <t>strong</t>
        </is>
      </c>
      <c r="J251" s="17" t="inlineStr">
        <is>
          <t>0.9</t>
        </is>
      </c>
      <c r="K251" s="17" t="inlineStr">
        <is>
          <t>conflict</t>
        </is>
      </c>
      <c r="L251" s="17" t="inlineStr">
        <is>
          <t>high</t>
        </is>
      </c>
      <c r="M251" s="17" t="inlineStr">
        <is>
          <t>high</t>
        </is>
      </c>
      <c r="N251" s="18" t="inlineStr">
        <is>
          <t>Alinhar a peca a decisao: se e lista de interesse, o CTA e 'Entrar na lista' e nao 'Adicionar ao carrinho'.</t>
        </is>
      </c>
    </row>
    <row r="252">
      <c r="A252" s="17" t="inlineStr">
        <is>
          <t>SA-11A</t>
        </is>
      </c>
      <c r="B252" s="17" t="inlineStr">
        <is>
          <t>scope_conflict</t>
        </is>
      </c>
      <c r="C252" s="17" t="inlineStr">
        <is>
          <t>ECO-04</t>
        </is>
      </c>
      <c r="D252" s="17" t="inlineStr">
        <is>
          <t>physical_product</t>
        </is>
      </c>
      <c r="E252" s="17" t="inlineStr">
        <is>
          <t>owned_web</t>
        </is>
      </c>
      <c r="F252" s="18" t="inlineStr">
        <is>
          <t>As roupas estao explicitamente fora da primeira fase no documento e aparecem como heroi da peca visual do kit de organizacao.</t>
        </is>
      </c>
      <c r="G252" s="18" t="inlineStr">
        <is>
          <t>DOC-C05-001: 'P4 Roupas - Fora do escopo atual - As roupas mostradas no conceito visual nao entram nesta primeira fase - Nao lancar agora'. Referencia visual de organizacao fisica: mockup 'Kit Semanal Masculino' com polos, bermudas e meias ocupando metade da area principal e CTA 'COMPRAR KIT SEMANAL'.</t>
        </is>
      </c>
      <c r="H252" s="17" t="inlineStr">
        <is>
          <t>DOC-C05-001;DOC-C13-009</t>
        </is>
      </c>
      <c r="I252" s="17" t="inlineStr">
        <is>
          <t>strong</t>
        </is>
      </c>
      <c r="J252" s="17" t="inlineStr">
        <is>
          <t>0.9</t>
        </is>
      </c>
      <c r="K252" s="17" t="inlineStr">
        <is>
          <t>conflict</t>
        </is>
      </c>
      <c r="L252" s="17" t="inlineStr">
        <is>
          <t>high</t>
        </is>
      </c>
      <c r="M252" s="17" t="inlineStr">
        <is>
          <t>high</t>
        </is>
      </c>
      <c r="N252" s="18" t="inlineStr">
        <is>
          <t>Refazer a peca sem vestuario ou adiar a peca; ela vende exatamente o que a decisao de escopo excluiu.</t>
        </is>
      </c>
    </row>
    <row r="253">
      <c r="A253" s="17" t="inlineStr">
        <is>
          <t>SA-13</t>
        </is>
      </c>
      <c r="B253" s="17" t="inlineStr">
        <is>
          <t>architecture_conflict</t>
        </is>
      </c>
      <c r="C253" s="17" t="inlineStr">
        <is>
          <t>ECO-04</t>
        </is>
      </c>
      <c r="D253" s="17" t="inlineStr">
        <is>
          <t>physical_product</t>
        </is>
      </c>
      <c r="E253" s="17" t="inlineStr">
        <is>
          <t>owned_web</t>
        </is>
      </c>
      <c r="F253" s="18" t="inlineStr">
        <is>
          <t>As pecas visuais mostram tres storefronts com navegacoes distintas, enquanto o plano prevê uma unica pagina Loja.</t>
        </is>
      </c>
      <c r="G253" s="18" t="inlineStr">
        <is>
          <t>DOC-C12-008 define uma pagina 'Loja' com objetivo 'produtos fisicos + infoprodutos'. As pecas mostram: 'executar.com/kit-tdah-planner-reprint' com nav 'Inicio, Produtos, Sistema, Comunidade, Sobre'; 'executar.com/kit-semanal-masculino' com nav 'KITS, SACOS, ORGANIZADORES, ACESSORIOS'; e a biblioteca com nav 'Inicio, Sobre, Biblioteca, Planos, Comunidade, Recursos'.</t>
        </is>
      </c>
      <c r="H253" s="17" t="inlineStr">
        <is>
          <t>DOC-C12-008;DOC-C13-008;DOC-C13-009;DOC-C13-005</t>
        </is>
      </c>
      <c r="I253" s="17" t="inlineStr">
        <is>
          <t>strong</t>
        </is>
      </c>
      <c r="J253" s="17" t="inlineStr">
        <is>
          <t>0.85</t>
        </is>
      </c>
      <c r="K253" s="17" t="inlineStr">
        <is>
          <t>conflict</t>
        </is>
      </c>
      <c r="L253" s="17" t="inlineStr">
        <is>
          <t>high</t>
        </is>
      </c>
      <c r="M253" s="17" t="inlineStr">
        <is>
          <t>high</t>
        </is>
      </c>
      <c r="N253" s="18" t="inlineStr">
        <is>
          <t>Congelar uma arquitetura de navegacao unica antes de produzir imagens; tres navs diferentes tornam impossivel confirmar rotas em RT-001 a RT-010.</t>
        </is>
      </c>
    </row>
    <row r="254">
      <c r="A254" s="17" t="inlineStr">
        <is>
          <t>SA-06A</t>
        </is>
      </c>
      <c r="B254" s="17" t="inlineStr">
        <is>
          <t>model_conflict</t>
        </is>
      </c>
      <c r="C254" s="17" t="inlineStr">
        <is>
          <t>ECO-05</t>
        </is>
      </c>
      <c r="D254" s="17" t="inlineStr">
        <is>
          <t>digital_product</t>
        </is>
      </c>
      <c r="E254" s="17" t="inlineStr">
        <is>
          <t>owned_web</t>
        </is>
      </c>
      <c r="F254" s="18" t="inlineStr">
        <is>
          <t>A peca da biblioteca sugere modelo de assinatura, enquanto a arquitetura comercial documentada e de compra unitaria em escada.</t>
        </is>
      </c>
      <c r="G254" s="18" t="inlineStr">
        <is>
          <t>Referencia visual da biblioteca: item de menu 'Planos', botao 'Entrar', CTA 'FACA PARTE DA BIBLIOTECA EXECUTAR' e selos 'Atualizacoes constantes' e 'Acesso em qualquer lugar e dispositivo'. DOC-C05-001 define degraus com precos unitarios (R$ 39,90, R$ 99-129, R$ 97, R$ 197) e nao menciona assinatura em nenhum ponto da arquitetura comercial.</t>
        </is>
      </c>
      <c r="H254" s="17" t="inlineStr">
        <is>
          <t>DOC-C13-005;DOC-C05-001</t>
        </is>
      </c>
      <c r="I254" s="17" t="inlineStr">
        <is>
          <t>moderate</t>
        </is>
      </c>
      <c r="J254" s="17" t="inlineStr">
        <is>
          <t>0.8</t>
        </is>
      </c>
      <c r="K254" s="17" t="inlineStr">
        <is>
          <t>conflict</t>
        </is>
      </c>
      <c r="L254" s="17" t="inlineStr">
        <is>
          <t>high</t>
        </is>
      </c>
      <c r="M254" s="17" t="inlineStr">
        <is>
          <t>high</t>
        </is>
      </c>
      <c r="N254" s="18" t="inlineStr">
        <is>
          <t>Decidir se existe assinatura antes do lancamento; um selo de 'atualizacoes constantes' cria obrigacao de entrega recorrente nao planejada.</t>
        </is>
      </c>
    </row>
    <row r="255">
      <c r="A255" s="17" t="inlineStr">
        <is>
          <t>SA-13</t>
        </is>
      </c>
      <c r="B255" s="17" t="inlineStr">
        <is>
          <t>channel_conflict</t>
        </is>
      </c>
      <c r="C255" s="17" t="inlineStr">
        <is>
          <t>ECO-08</t>
        </is>
      </c>
      <c r="D255" s="17" t="inlineStr">
        <is>
          <t>content_community</t>
        </is>
      </c>
      <c r="E255" s="17" t="inlineStr">
        <is>
          <t>social</t>
        </is>
      </c>
      <c r="F255" s="18" t="inlineStr">
        <is>
          <t>Ha duas estrategias de canal incompativeis no acervo: quatro canais de distribuicao ativos e um unico canal com playlists.</t>
        </is>
      </c>
      <c r="G255" s="18" t="inlineStr">
        <is>
          <t>Versao A - DOC-C05-001 e as notas PUB: 'DISTRIBUICAO 01 YouTube | 02 Instagram | 03 TikTok | 04 LinkedIn', com PUB-002, PUB-003 e PUB-004 criadas. Versao B - Dashboard QL-0038, subtema 'Simplificacao de canais': 'A estrategia de cinco canais e substituida por um canal principal com playlists'; acao: 'Reduzir dispersao operacional e medir consistencia por ciclo'.</t>
        </is>
      </c>
      <c r="H255" s="17" t="inlineStr">
        <is>
          <t>DOC-C05-001;DOC-C14-004;DOC-C14-005;DOC-C14-006;DOC-C07-009</t>
        </is>
      </c>
      <c r="I255" s="17" t="inlineStr">
        <is>
          <t>strong</t>
        </is>
      </c>
      <c r="J255" s="17" t="inlineStr">
        <is>
          <t>0.9</t>
        </is>
      </c>
      <c r="K255" s="17" t="inlineStr">
        <is>
          <t>conflict</t>
        </is>
      </c>
      <c r="L255" s="17" t="inlineStr">
        <is>
          <t>high</t>
        </is>
      </c>
      <c r="M255" s="17" t="inlineStr">
        <is>
          <t>high</t>
        </is>
      </c>
      <c r="N255" s="18" t="inlineStr">
        <is>
          <t>Registrar qual decisao vale para 07/09; manter as duas versoes ativas garante dispersao dentro de 5h de publicacao e agenda.</t>
        </is>
      </c>
    </row>
    <row r="256">
      <c r="A256" s="17" t="inlineStr">
        <is>
          <t>SA-11A</t>
        </is>
      </c>
      <c r="B256" s="17" t="inlineStr">
        <is>
          <t>channel_conflict</t>
        </is>
      </c>
      <c r="C256" s="17" t="inlineStr">
        <is>
          <t>ECO-08</t>
        </is>
      </c>
      <c r="D256" s="17" t="inlineStr">
        <is>
          <t>content_community</t>
        </is>
      </c>
      <c r="E256" s="17" t="inlineStr">
        <is>
          <t>owned_web</t>
        </is>
      </c>
      <c r="F256" s="18" t="inlineStr">
        <is>
          <t>Blog e newsletter aparecem como canal inicial prioritario em uma fonte e como apenas dois entre oito plataformas em outra.</t>
        </is>
      </c>
      <c r="G256" s="18" t="inlineStr">
        <is>
          <t>Dashboard QL-000057: 'A equipe decidiu priorizar um blog visual-first com newsletter como canal inicial, com a hipotese de que blogs gerariam mais leads qualificados do que redes sociais dispersas para este publico'; acao: 'Concentrar recursos iniciais de marketing em conteudo de blog e newsletter antes de expandir para redes sociais'. DOC-C05-001 estrutura oito posicoes (4 owned + 4 distribuicao) sem hierarquia de fase.</t>
        </is>
      </c>
      <c r="H256" s="17" t="inlineStr">
        <is>
          <t>DOC-C07-009;DOC-C05-001</t>
        </is>
      </c>
      <c r="I256" s="17" t="inlineStr">
        <is>
          <t>moderate</t>
        </is>
      </c>
      <c r="J256" s="17" t="inlineStr">
        <is>
          <t>0.8</t>
        </is>
      </c>
      <c r="K256" s="17" t="inlineStr">
        <is>
          <t>conflict</t>
        </is>
      </c>
      <c r="L256" s="17" t="inlineStr">
        <is>
          <t>high</t>
        </is>
      </c>
      <c r="M256" s="17" t="inlineStr">
        <is>
          <t>medium</t>
        </is>
      </c>
      <c r="N256" s="18" t="inlineStr">
        <is>
          <t>Adotar a hierarquia por fase: blog e newsletter no lancamento, redes como derivado, e registrar isso na agenda mestra.</t>
        </is>
      </c>
    </row>
    <row r="257">
      <c r="A257" s="17" t="inlineStr">
        <is>
          <t>SA-09B</t>
        </is>
      </c>
      <c r="B257" s="17" t="inlineStr">
        <is>
          <t>community_conflict</t>
        </is>
      </c>
      <c r="C257" s="17" t="inlineStr">
        <is>
          <t>ECO-08</t>
        </is>
      </c>
      <c r="D257" s="17" t="inlineStr">
        <is>
          <t>content_community</t>
        </is>
      </c>
      <c r="E257" s="17" t="inlineStr">
        <is>
          <t>owned_web</t>
        </is>
      </c>
      <c r="F257" s="18" t="inlineStr">
        <is>
          <t>A comunidade aparece como item de menu ativo e como selo de produto nas pecas visuais, mas o acervo textual a classifica como futura.</t>
        </is>
      </c>
      <c r="G257" s="18" t="inlineStr">
        <is>
          <t>Ecossistema: 'OWNED 04 Executar / comunidade futura - Continuidade e aplicacao'. Pecas visuais: nav 'Comunidade' na loja do Office Kit e na biblioteca; selo 'COMUNIDADE E APOIO' na capa de 'Aplicando o TDAH Adulto'; selo 'Comunidade e apoio' entre os quatro beneficios do Kit TDAH Planner Reprint.</t>
        </is>
      </c>
      <c r="H257" s="17" t="inlineStr">
        <is>
          <t>DOC-C05-001;DOC-C13-008;DOC-C13-005;DOC-C13-006</t>
        </is>
      </c>
      <c r="I257" s="17" t="inlineStr">
        <is>
          <t>strong</t>
        </is>
      </c>
      <c r="J257" s="17" t="inlineStr">
        <is>
          <t>0.85</t>
        </is>
      </c>
      <c r="K257" s="17" t="inlineStr">
        <is>
          <t>conflict</t>
        </is>
      </c>
      <c r="L257" s="17" t="inlineStr">
        <is>
          <t>high</t>
        </is>
      </c>
      <c r="M257" s="17" t="inlineStr">
        <is>
          <t>high</t>
        </is>
      </c>
      <c r="N257" s="18" t="inlineStr">
        <is>
          <t>Remover a promessa de comunidade das pecas ou definir o que a comunidade e em 07/09; hoje ela e prometida em tres superficies e nao existe.</t>
        </is>
      </c>
    </row>
    <row r="258">
      <c r="A258" s="17" t="inlineStr">
        <is>
          <t>SA-07B</t>
        </is>
      </c>
      <c r="B258" s="17" t="inlineStr">
        <is>
          <t>capacity_conflict</t>
        </is>
      </c>
      <c r="C258" s="17" t="inlineStr">
        <is>
          <t>ECO-05</t>
        </is>
      </c>
      <c r="D258" s="17" t="inlineStr">
        <is>
          <t>digital_product</t>
        </is>
      </c>
      <c r="E258" s="17" t="n"/>
      <c r="F258" s="18" t="inlineStr">
        <is>
          <t>As duas fontes de capacidade divergem na alocacao por frente, apesar de fecharem o mesmo total de 60h.</t>
        </is>
      </c>
      <c r="G258" s="18" t="inlineStr">
        <is>
          <t>DOC-C08-008: 'Central, rotas e chamadas 12 | Ofertas e cadastros 6 | Tres pecas editoriais 15 | Demonstracoes 15 | Publicacao e agenda 5 | Teste e conferencia 7 | Total 60'. DOC-C05-001, Somatorio por Value Stream: 'Control Plane 6h | Paginas, destinos, CTAs e formularios 10h | Commerce / Hotmart / afiliados / produtos 8h | 3 Packages editoriais 15h | 3 Showrooms 9h | CMS + distribuicao 5h | QA / tracking 7h | TOTAL 60h'.</t>
        </is>
      </c>
      <c r="H258" s="17" t="inlineStr">
        <is>
          <t>DOC-C08-008;DOC-C05-001</t>
        </is>
      </c>
      <c r="I258" s="17" t="inlineStr">
        <is>
          <t>strong</t>
        </is>
      </c>
      <c r="J258" s="17" t="inlineStr">
        <is>
          <t>0.9</t>
        </is>
      </c>
      <c r="K258" s="17" t="inlineStr">
        <is>
          <t>conflict</t>
        </is>
      </c>
      <c r="L258" s="17" t="inlineStr">
        <is>
          <t>medium</t>
        </is>
      </c>
      <c r="M258" s="17" t="inlineStr">
        <is>
          <t>medium</t>
        </is>
      </c>
      <c r="N258" s="18" t="inlineStr">
        <is>
          <t>Escolher uma das duas alocacoes como oficial; commerce com 6h ou 8h muda diretamente o que cabe no D3.</t>
        </is>
      </c>
    </row>
    <row r="259">
      <c r="A259" s="17" t="inlineStr">
        <is>
          <t>SA-12</t>
        </is>
      </c>
      <c r="B259" s="17" t="inlineStr">
        <is>
          <t>requirements</t>
        </is>
      </c>
      <c r="C259" s="17" t="inlineStr">
        <is>
          <t>ECO-06</t>
        </is>
      </c>
      <c r="D259" s="17" t="inlineStr">
        <is>
          <t>digital_product</t>
        </is>
      </c>
      <c r="E259" s="17" t="n"/>
      <c r="F259" s="18" t="inlineStr">
        <is>
          <t>Nao existe nenhum requisito de produto escrito para o livro autoral de Risco Cognitivo: nem formato, nem extensao, nem publico, nem canal.</t>
        </is>
      </c>
      <c r="G259" s="18" t="inlineStr">
        <is>
          <t>MASTER_INDEX RC-029 especifica apenas o white paper ('white paper de 15-30 paginas e eventual deposito em Zenodo para DOI', status PENDENTE); o livro aparece somente como ultimo item da escada RC-028, sem atributo algum.</t>
        </is>
      </c>
      <c r="H259" s="17" t="inlineStr">
        <is>
          <t>DOC-C02-002;DOC-C02-042</t>
        </is>
      </c>
      <c r="I259" s="17" t="inlineStr">
        <is>
          <t>strong</t>
        </is>
      </c>
      <c r="J259" s="17" t="inlineStr">
        <is>
          <t>0.9</t>
        </is>
      </c>
      <c r="K259" s="17" t="inlineStr">
        <is>
          <t>gap</t>
        </is>
      </c>
      <c r="L259" s="17" t="inlineStr">
        <is>
          <t>medium</t>
        </is>
      </c>
      <c r="M259" s="17" t="inlineStr">
        <is>
          <t>low</t>
        </is>
      </c>
      <c r="N259" s="18" t="inlineStr">
        <is>
          <t>Manter o livro como marcador de roadmap sem especificacao ate o white paper existir; especificar antes seria preencher lacuna por plausibilidade.</t>
        </is>
      </c>
    </row>
    <row r="260">
      <c r="A260" s="17" t="inlineStr">
        <is>
          <t>SA-13</t>
        </is>
      </c>
      <c r="B260" s="17" t="inlineStr">
        <is>
          <t>gtm</t>
        </is>
      </c>
      <c r="C260" s="17" t="inlineStr">
        <is>
          <t>ECO-06</t>
        </is>
      </c>
      <c r="D260" s="17" t="inlineStr">
        <is>
          <t>digital_product</t>
        </is>
      </c>
      <c r="E260" s="17" t="inlineStr">
        <is>
          <t>owned_web</t>
        </is>
      </c>
      <c r="F260" s="18" t="inlineStr">
        <is>
          <t>O plano do livro autoral tem uma campanha de 14 dias com 18 ativos e fases nomeadas, mas sem datas de calendario e sem percentual de progresso.</t>
        </is>
      </c>
      <c r="G260" s="18" t="inlineStr">
        <is>
          <t>BMC/Gantt: '14 dias | campanha | 18 ativos | pacote principal | % geral nao informado'; sequencia D1 a D14: 'Artigo + landing (Fundacao), Manifesto, Carrossel 1, Short 1, Dado/micropost, Video principal (Derivacao), Newsletter, Infografico, Short 2, Carrossel 2 (Distribuicao), Checklist, Short 3, Lead magnet (Conversao editorial), Sintese + CTA editorial (Validacao)'.</t>
        </is>
      </c>
      <c r="H260" s="17" t="inlineStr">
        <is>
          <t>DOC-C02-039</t>
        </is>
      </c>
      <c r="I260" s="17" t="inlineStr">
        <is>
          <t>strong</t>
        </is>
      </c>
      <c r="J260" s="17" t="inlineStr">
        <is>
          <t>0.85</t>
        </is>
      </c>
      <c r="K260" s="17" t="inlineStr">
        <is>
          <t>fact</t>
        </is>
      </c>
      <c r="L260" s="17" t="inlineStr">
        <is>
          <t>medium</t>
        </is>
      </c>
      <c r="M260" s="17" t="inlineStr">
        <is>
          <t>medium</t>
        </is>
      </c>
      <c r="N260" s="18" t="inlineStr">
        <is>
          <t>Verificar se a campanha de 14 dias do Risco Cognitivo colide com os 14 dias do lancamento Executar; sao dois planos de 14 dias no mesmo periodo.</t>
        </is>
      </c>
    </row>
    <row r="261">
      <c r="A261" s="17" t="inlineStr">
        <is>
          <t>SA-13</t>
        </is>
      </c>
      <c r="B261" s="17" t="inlineStr">
        <is>
          <t>gtm</t>
        </is>
      </c>
      <c r="C261" s="17" t="inlineStr">
        <is>
          <t>ECO-08</t>
        </is>
      </c>
      <c r="D261" s="17" t="inlineStr">
        <is>
          <t>content_community</t>
        </is>
      </c>
      <c r="E261" s="17" t="inlineStr">
        <is>
          <t>owned_web</t>
        </is>
      </c>
      <c r="F261" s="18" t="inlineStr">
        <is>
          <t>Existem dois planos de 14 dias sobre a mesma capacidade de 6h/dia, um do lancamento Executar e um da campanha Risco Cognitivo.</t>
        </is>
      </c>
      <c r="G261" s="18" t="inlineStr">
        <is>
          <t>DOC-C08-011 lista a fila unica de 14 dias 25/08 a 07/09 do lancamento Executar. O BMC do Risco Cognitivo (data 2026-08-28) descreve '14 dias, campanha, 18 ativos' com D1-D14 proprios. Nenhum documento reconcilia os dois calendarios.</t>
        </is>
      </c>
      <c r="H261" s="17" t="inlineStr">
        <is>
          <t>DOC-C08-011;DOC-C02-039;DOC-C08-008</t>
        </is>
      </c>
      <c r="I261" s="17" t="inlineStr">
        <is>
          <t>strong</t>
        </is>
      </c>
      <c r="J261" s="17" t="inlineStr">
        <is>
          <t>0.85</t>
        </is>
      </c>
      <c r="K261" s="17" t="inlineStr">
        <is>
          <t>conflict</t>
        </is>
      </c>
      <c r="L261" s="17" t="inlineStr">
        <is>
          <t>high</t>
        </is>
      </c>
      <c r="M261" s="17" t="inlineStr">
        <is>
          <t>high</t>
        </is>
      </c>
      <c r="N261" s="18" t="inlineStr">
        <is>
          <t>Sequenciar as duas campanhas; 18 ativos editoriais somados a 3 pecas e 3 showrooms nao cabem em 72h.</t>
        </is>
      </c>
    </row>
    <row r="262">
      <c r="A262" s="17" t="inlineStr">
        <is>
          <t>SA-04D</t>
        </is>
      </c>
      <c r="B262" s="17" t="inlineStr">
        <is>
          <t>voice_of_customer</t>
        </is>
      </c>
      <c r="C262" s="17" t="inlineStr">
        <is>
          <t>ECO-06</t>
        </is>
      </c>
      <c r="D262" s="17" t="inlineStr">
        <is>
          <t>digital_product</t>
        </is>
      </c>
      <c r="E262" s="17" t="n"/>
      <c r="F262" s="18" t="inlineStr">
        <is>
          <t>Nao ha nenhuma evidencia de leitor, resenha, teste de capa ou pesquisa de titulo para os livros digitais.</t>
        </is>
      </c>
      <c r="G262" s="18" t="inlineStr">
        <is>
          <t>As unicas evidencias de leitor no acervo sao referencias bibliograficas de terceiros; DOC-C13-004 classifica as capas como referencia visual e adverte 'nao confunda referencia com material aprovado para publicacao'.</t>
        </is>
      </c>
      <c r="H262" s="17" t="inlineStr">
        <is>
          <t>DOC-C13-004;DOC-C09-011</t>
        </is>
      </c>
      <c r="I262" s="17" t="inlineStr">
        <is>
          <t>strong</t>
        </is>
      </c>
      <c r="J262" s="17" t="inlineStr">
        <is>
          <t>0.8</t>
        </is>
      </c>
      <c r="K262" s="17" t="inlineStr">
        <is>
          <t>gap</t>
        </is>
      </c>
      <c r="L262" s="17" t="inlineStr">
        <is>
          <t>medium</t>
        </is>
      </c>
      <c r="M262" s="17" t="inlineStr">
        <is>
          <t>medium</t>
        </is>
      </c>
      <c r="N262" s="18" t="inlineStr">
        <is>
          <t>Testar os tres titulos com a lista antes de imprimir a capa final; e o teste mais barato disponivel.</t>
        </is>
      </c>
    </row>
    <row r="263">
      <c r="A263" s="17" t="inlineStr">
        <is>
          <t>SA-10A</t>
        </is>
      </c>
      <c r="B263" s="17" t="inlineStr">
        <is>
          <t>market_attractiveness</t>
        </is>
      </c>
      <c r="C263" s="17" t="inlineStr">
        <is>
          <t>ECO-06</t>
        </is>
      </c>
      <c r="D263" s="17" t="inlineStr">
        <is>
          <t>digital_product</t>
        </is>
      </c>
      <c r="E263" s="17" t="n"/>
      <c r="F263" s="18" t="inlineStr">
        <is>
          <t>A atratividade do livro autoral e afirmada por whitespace, e o proprio acervo classifica isso como hipotese e nao como achado validado.</t>
        </is>
      </c>
      <c r="G263" s="18" t="inlineStr">
        <is>
          <t>MASTER_INDEX RC-016, status HIPOTESE: 'Nao foi encontrado na pesquisa executada um framework consolidado que una TDAH/funcoes executivas + risco endogeno + gestao de projetos + controles compensatorios de execucao... Validar com scoping review sistematica e especialistas.'</t>
        </is>
      </c>
      <c r="H263" s="17" t="inlineStr">
        <is>
          <t>DOC-C02-002</t>
        </is>
      </c>
      <c r="I263" s="17" t="inlineStr">
        <is>
          <t>strong</t>
        </is>
      </c>
      <c r="J263" s="17" t="inlineStr">
        <is>
          <t>0.9</t>
        </is>
      </c>
      <c r="K263" s="17" t="inlineStr">
        <is>
          <t>hypothesis</t>
        </is>
      </c>
      <c r="L263" s="17" t="inlineStr">
        <is>
          <t>medium</t>
        </is>
      </c>
      <c r="M263" s="17" t="inlineStr">
        <is>
          <t>medium</t>
        </is>
      </c>
      <c r="N263" s="18" t="inlineStr">
        <is>
          <t>Manter o status de hipotese em toda comunicacao interna e externa ate a scoping review estar concluida.</t>
        </is>
      </c>
    </row>
    <row r="264">
      <c r="A264" s="17" t="inlineStr">
        <is>
          <t>SA-07A</t>
        </is>
      </c>
      <c r="B264" s="17" t="inlineStr">
        <is>
          <t>value_chain</t>
        </is>
      </c>
      <c r="C264" s="17" t="inlineStr">
        <is>
          <t>ECO-05</t>
        </is>
      </c>
      <c r="D264" s="17" t="inlineStr">
        <is>
          <t>digital_product</t>
        </is>
      </c>
      <c r="E264" s="17" t="inlineStr">
        <is>
          <t>education_platform</t>
        </is>
      </c>
      <c r="F264" s="18" t="inlineStr">
        <is>
          <t>A cadeia de infoproduto tem uma dependencia externa fora do controle do operador: aprovacao de conta e de produto na plataforma.</t>
        </is>
      </c>
      <c r="G264" s="18" t="inlineStr">
        <is>
          <t>DOC-C09-015 exige 'teste de compra quando possivel' e 'Registrar ligacao final e captura/estado de aprovacao ou disponibilidade'; DOC-C05-001, D1: 'iniciar dependencias externas Amazon/Hotmart' com DoD 'pendencias externas disparadas'.</t>
        </is>
      </c>
      <c r="H264" s="17" t="inlineStr">
        <is>
          <t>DOC-C09-015;DOC-C05-001</t>
        </is>
      </c>
      <c r="I264" s="17" t="inlineStr">
        <is>
          <t>strong</t>
        </is>
      </c>
      <c r="J264" s="17" t="inlineStr">
        <is>
          <t>0.85</t>
        </is>
      </c>
      <c r="K264" s="17" t="inlineStr">
        <is>
          <t>fact</t>
        </is>
      </c>
      <c r="L264" s="17" t="inlineStr">
        <is>
          <t>high</t>
        </is>
      </c>
      <c r="M264" s="17" t="inlineStr">
        <is>
          <t>high</t>
        </is>
      </c>
      <c r="N264" s="18" t="inlineStr">
        <is>
          <t>Disparar cadastro Hotmart e Amazon no primeiro dia util; sao os dois unicos itens do plano cujo prazo nao depende do operador.</t>
        </is>
      </c>
    </row>
    <row r="265">
      <c r="A265" s="17" t="inlineStr">
        <is>
          <t>SA-08B</t>
        </is>
      </c>
      <c r="B265" s="17" t="inlineStr">
        <is>
          <t>customer</t>
        </is>
      </c>
      <c r="C265" s="17" t="inlineStr">
        <is>
          <t>ECO-04</t>
        </is>
      </c>
      <c r="D265" s="17" t="inlineStr">
        <is>
          <t>physical_product</t>
        </is>
      </c>
      <c r="E265" s="17" t="inlineStr">
        <is>
          <t>owned_web</t>
        </is>
      </c>
      <c r="F265" s="18" t="inlineStr">
        <is>
          <t>O acervo reconhece que o vinculo entre produto fisico e retencao e uma proposta a validar, nao um fato.</t>
        </is>
      </c>
      <c r="G265" s="18" t="inlineStr">
        <is>
          <t>Dashboard QL-0039, acao secundaria: 'Validar economia unitaria e vinculo real entre fisico e retencao'.</t>
        </is>
      </c>
      <c r="H265" s="17" t="inlineStr">
        <is>
          <t>DOC-C07-009</t>
        </is>
      </c>
      <c r="I265" s="17" t="inlineStr">
        <is>
          <t>moderate</t>
        </is>
      </c>
      <c r="J265" s="17" t="inlineStr">
        <is>
          <t>0.8</t>
        </is>
      </c>
      <c r="K265" s="17" t="inlineStr">
        <is>
          <t>fact</t>
        </is>
      </c>
      <c r="L265" s="17" t="inlineStr">
        <is>
          <t>high</t>
        </is>
      </c>
      <c r="M265" s="17" t="inlineStr">
        <is>
          <t>medium</t>
        </is>
      </c>
      <c r="N265" s="18" t="inlineStr">
        <is>
          <t>Definir a metrica que testaria esse vinculo (ex.: uso do app entre compradores do kit) antes de investir na linha.</t>
        </is>
      </c>
    </row>
    <row r="266">
      <c r="A266" s="17" t="inlineStr">
        <is>
          <t>SA-09C</t>
        </is>
      </c>
      <c r="B266" s="17" t="inlineStr">
        <is>
          <t>opportunity</t>
        </is>
      </c>
      <c r="C266" s="17" t="inlineStr">
        <is>
          <t>ECO-05</t>
        </is>
      </c>
      <c r="D266" s="17" t="inlineStr">
        <is>
          <t>digital_product</t>
        </is>
      </c>
      <c r="E266" s="17" t="inlineStr">
        <is>
          <t>education_platform</t>
        </is>
      </c>
      <c r="F266" s="18" t="inlineStr">
        <is>
          <t>O curso ja tem estrutura pedagogica dimensionada, o que reduz o risco de escopo indefinido na producao.</t>
        </is>
      </c>
      <c r="G266" s="18" t="inlineStr">
        <is>
          <t>Ecossistema, 'O curso principal': 'Modulos principais 4 - um por E | Aulas por modulo 4-6 | Total de aulas 18-24 | Duracao por aula 6-12 min | Video total ~2,5-4 horas | Aplicacoes guiadas ~2 horas adicionais | Avaliacao Checkpoint por modulo | Material de apoio Workbook + mapas + templates | Conclusao Projeto pessoal / sistema minimo implementado'.</t>
        </is>
      </c>
      <c r="H266" s="17" t="inlineStr">
        <is>
          <t>DOC-C05-001;DOC-C09-013</t>
        </is>
      </c>
      <c r="I266" s="17" t="inlineStr">
        <is>
          <t>strong</t>
        </is>
      </c>
      <c r="J266" s="17" t="inlineStr">
        <is>
          <t>0.85</t>
        </is>
      </c>
      <c r="K266" s="17" t="inlineStr">
        <is>
          <t>fact</t>
        </is>
      </c>
      <c r="L266" s="17" t="inlineStr">
        <is>
          <t>high</t>
        </is>
      </c>
      <c r="M266" s="17" t="inlineStr">
        <is>
          <t>medium</t>
        </is>
      </c>
      <c r="N266" s="18" t="inlineStr">
        <is>
          <t>Anunciar no lancamento apenas o modulo 01 gravado e o restante com data, conforme o proprio requisito de transparencia de DOC-C09-013.</t>
        </is>
      </c>
    </row>
    <row r="267">
      <c r="A267" s="17" t="inlineStr">
        <is>
          <t>SA-01</t>
        </is>
      </c>
      <c r="B267" s="17" t="inlineStr">
        <is>
          <t>social</t>
        </is>
      </c>
      <c r="C267" s="17" t="inlineStr">
        <is>
          <t>ECO-05</t>
        </is>
      </c>
      <c r="D267" s="17" t="inlineStr">
        <is>
          <t>digital_product</t>
        </is>
      </c>
      <c r="E267" s="17" t="inlineStr">
        <is>
          <t>owned_web</t>
        </is>
      </c>
      <c r="F267" s="18" t="inlineStr">
        <is>
          <t>O desenho do infoproduto adota regras de acessibilidade cognitiva como requisito editorial, o que e coerente com o publico declarado.</t>
        </is>
      </c>
      <c r="G267" s="18" t="inlineStr">
        <is>
          <t>Ecossistema: 'Para o publico neurodivergente, eu adotaria como regra de acessibilidade frases curtas, blocos pequenos, linguagem inequivoca, imagens claras, bom espaco em branco e definicoes para termos incomuns - tambem alinhado as recomendacoes de acessibilidade cognitiva do W3C'.</t>
        </is>
      </c>
      <c r="H267" s="17" t="inlineStr">
        <is>
          <t>DOC-C05-001</t>
        </is>
      </c>
      <c r="I267" s="17" t="inlineStr">
        <is>
          <t>moderate</t>
        </is>
      </c>
      <c r="J267" s="17" t="inlineStr">
        <is>
          <t>0.8</t>
        </is>
      </c>
      <c r="K267" s="17" t="inlineStr">
        <is>
          <t>fact</t>
        </is>
      </c>
      <c r="L267" s="17" t="inlineStr">
        <is>
          <t>medium</t>
        </is>
      </c>
      <c r="M267" s="17" t="inlineStr">
        <is>
          <t>medium</t>
        </is>
      </c>
      <c r="N267" s="18" t="inlineStr">
        <is>
          <t>Transformar essas seis regras em checklist de revisao obrigatoria de cada capitulo e cada aula.</t>
        </is>
      </c>
    </row>
    <row r="268">
      <c r="A268" s="17" t="inlineStr">
        <is>
          <t>SA-07A</t>
        </is>
      </c>
      <c r="B268" s="17" t="inlineStr">
        <is>
          <t>value_chain</t>
        </is>
      </c>
      <c r="C268" s="17" t="inlineStr">
        <is>
          <t>ECO-08</t>
        </is>
      </c>
      <c r="D268" s="17" t="inlineStr">
        <is>
          <t>content_community</t>
        </is>
      </c>
      <c r="E268" s="17" t="inlineStr">
        <is>
          <t>affiliate</t>
        </is>
      </c>
      <c r="F268" s="18" t="inlineStr">
        <is>
          <t>O fluxo operacional de afiliados tem nove etapas descritas e uma pendencia formalizada e nao executada.</t>
        </is>
      </c>
      <c r="G268" s="18" t="inlineStr">
        <is>
          <t>Ecossistema, 'Como implementar': etapas 01 a 09, de 'Criar cadastro no Programa de Associados Amazon Brasil' a 'Cruzar receita de afiliado com artigo, video, autor e assunto'; e 'Pendencia operacional ja definida: AF-SETUP-001 - Cadastrar Amazon Associados + criar IDs de rastreamento + substituir links-base'.</t>
        </is>
      </c>
      <c r="H268" s="17" t="inlineStr">
        <is>
          <t>DOC-C05-001;DOC-C09-018</t>
        </is>
      </c>
      <c r="I268" s="17" t="inlineStr">
        <is>
          <t>strong</t>
        </is>
      </c>
      <c r="J268" s="17" t="inlineStr">
        <is>
          <t>0.9</t>
        </is>
      </c>
      <c r="K268" s="17" t="inlineStr">
        <is>
          <t>fact</t>
        </is>
      </c>
      <c r="L268" s="17" t="inlineStr">
        <is>
          <t>medium</t>
        </is>
      </c>
      <c r="M268" s="17" t="inlineStr">
        <is>
          <t>high</t>
        </is>
      </c>
      <c r="N268" s="18" t="inlineStr">
        <is>
          <t>Abrir AF-SETUP-001 como tarefa datada no D1; sem os IDs por canal, a metrica AF-08 nao existe.</t>
        </is>
      </c>
    </row>
    <row r="269">
      <c r="A269" s="17" t="inlineStr">
        <is>
          <t>SA-04A</t>
        </is>
      </c>
      <c r="B269" s="17" t="inlineStr">
        <is>
          <t>segmentation</t>
        </is>
      </c>
      <c r="C269" s="17" t="inlineStr">
        <is>
          <t>ECO-08</t>
        </is>
      </c>
      <c r="D269" s="17" t="inlineStr">
        <is>
          <t>content_community</t>
        </is>
      </c>
      <c r="E269" s="17" t="inlineStr">
        <is>
          <t>partner</t>
        </is>
      </c>
      <c r="F269" s="18" t="inlineStr">
        <is>
          <t>A lista de interlocutores externos esta segmentada por area de conhecimento e por abordagem recomendada, com contato publico verificado.</t>
        </is>
      </c>
      <c r="G269" s="18" t="inlineStr">
        <is>
          <t>RISCO_COGNITIVO_CONTACTS.csv: RC-CON-002 'Marcio Sonego - TDAH e empreendedorismo no Brasil - marciolsonego@gmail.com'; RC-CON-005 'Kirsty Lauder - Neurodiversity Research at Work'; RC-CON-007 'Sarah Gardner - Project management; cognitive risk; governanca e IA - nenhum e-mail foi registrado no pacote'; RC-CON-008 autores APM sem e-mail: 'nao foram adicionados e-mails nao verificados'.</t>
        </is>
      </c>
      <c r="H269" s="17" t="inlineStr">
        <is>
          <t>DOC-C02-029</t>
        </is>
      </c>
      <c r="I269" s="17" t="inlineStr">
        <is>
          <t>strong</t>
        </is>
      </c>
      <c r="J269" s="17" t="inlineStr">
        <is>
          <t>0.9</t>
        </is>
      </c>
      <c r="K269" s="17" t="inlineStr">
        <is>
          <t>fact</t>
        </is>
      </c>
      <c r="L269" s="17" t="inlineStr">
        <is>
          <t>medium</t>
        </is>
      </c>
      <c r="M269" s="17" t="inlineStr">
        <is>
          <t>low</t>
        </is>
      </c>
      <c r="N269" s="18" t="inlineStr">
        <is>
          <t>Priorizar os cinco contatos com e-mail publico verificado e usar canais institucionais para os demais, como o proprio CSV instrui.</t>
        </is>
      </c>
    </row>
    <row r="270">
      <c r="A270" s="17" t="inlineStr">
        <is>
          <t>SA-04A</t>
        </is>
      </c>
      <c r="B270" s="17" t="inlineStr">
        <is>
          <t>segmentation</t>
        </is>
      </c>
      <c r="C270" s="17" t="inlineStr">
        <is>
          <t>ECO-05</t>
        </is>
      </c>
      <c r="D270" s="17" t="inlineStr">
        <is>
          <t>digital_product</t>
        </is>
      </c>
      <c r="E270" s="17" t="inlineStr">
        <is>
          <t>education_platform</t>
        </is>
      </c>
      <c r="F270" s="18" t="inlineStr">
        <is>
          <t>Nao ha segmentacao de compradores do curso: a unica divisao declarada e por fase pedagogica (4E), que e estrutura de conteudo e nao de mercado.</t>
        </is>
      </c>
      <c r="G270" s="18" t="inlineStr">
        <is>
          <t>DOC-C09-013 define apenas 'Estrutura: 4 modulos: Entender, Estruturar, Executar, Evoluir'; DOC-C09-016 define o papel das linhas ('Livros digitais funcionam como produto de entrada e aplicacao. Curso funciona como aplicacao guiada') sem nomear segmentos de comprador.</t>
        </is>
      </c>
      <c r="H270" s="17" t="inlineStr">
        <is>
          <t>DOC-C09-013;DOC-C09-016</t>
        </is>
      </c>
      <c r="I270" s="17" t="inlineStr">
        <is>
          <t>strong</t>
        </is>
      </c>
      <c r="J270" s="17" t="inlineStr">
        <is>
          <t>0.85</t>
        </is>
      </c>
      <c r="K270" s="17" t="inlineStr">
        <is>
          <t>gap</t>
        </is>
      </c>
      <c r="L270" s="17" t="inlineStr">
        <is>
          <t>medium</t>
        </is>
      </c>
      <c r="M270" s="17" t="inlineStr">
        <is>
          <t>medium</t>
        </is>
      </c>
      <c r="N270" s="18" t="inlineStr">
        <is>
          <t>Usar a lista de interesse do lancamento para gerar os primeiros segmentos observados em vez de arbitrar segmentos agora.</t>
        </is>
      </c>
    </row>
    <row r="271">
      <c r="A271" s="17" t="inlineStr">
        <is>
          <t>SA-08C</t>
        </is>
      </c>
      <c r="B271" s="17" t="inlineStr">
        <is>
          <t>competitor</t>
        </is>
      </c>
      <c r="C271" s="17" t="inlineStr">
        <is>
          <t>ECO-05</t>
        </is>
      </c>
      <c r="D271" s="17" t="inlineStr">
        <is>
          <t>digital_product</t>
        </is>
      </c>
      <c r="E271" s="17" t="inlineStr">
        <is>
          <t>education_platform</t>
        </is>
      </c>
      <c r="F271" s="18" t="inlineStr">
        <is>
          <t>O concorrente de referencia mais proximo em preco e catalogo e uma escola ampla de 200+ aulas a R$ 197, mesmo valor do bundle proprio.</t>
        </is>
      </c>
      <c r="G271" s="18" t="inlineStr">
        <is>
          <t>Ecossistema, Benchmark curso: 'Escola ampla para adulto com TDAH | 200+ aulas | R$ 197'; escada propria: 'Curso + biblioteca R$ 197 Oferta principal'.</t>
        </is>
      </c>
      <c r="H271" s="17" t="inlineStr">
        <is>
          <t>DOC-C05-001</t>
        </is>
      </c>
      <c r="I271" s="17" t="inlineStr">
        <is>
          <t>moderate</t>
        </is>
      </c>
      <c r="J271" s="17" t="inlineStr">
        <is>
          <t>0.75</t>
        </is>
      </c>
      <c r="K271" s="17" t="inlineStr">
        <is>
          <t>inference</t>
        </is>
      </c>
      <c r="L271" s="17" t="inlineStr">
        <is>
          <t>high</t>
        </is>
      </c>
      <c r="M271" s="17" t="inlineStr">
        <is>
          <t>medium</t>
        </is>
      </c>
      <c r="N271" s="18" t="inlineStr">
        <is>
          <t>Diferenciar o bundle de R$ 197 por aplicacao guiada e ferramentas, ja que em volume de aulas a comparacao e desfavoravel.</t>
        </is>
      </c>
    </row>
    <row r="272">
      <c r="A272" s="17" t="inlineStr">
        <is>
          <t>SA-09B</t>
        </is>
      </c>
      <c r="B272" s="17" t="inlineStr">
        <is>
          <t>weakness</t>
        </is>
      </c>
      <c r="C272" s="17" t="inlineStr">
        <is>
          <t>ECO-05</t>
        </is>
      </c>
      <c r="D272" s="17" t="inlineStr">
        <is>
          <t>digital_product</t>
        </is>
      </c>
      <c r="E272" s="17" t="inlineStr">
        <is>
          <t>education_platform</t>
        </is>
      </c>
      <c r="F272" s="18" t="inlineStr">
        <is>
          <t>A linha digital entra no lancamento com quatro produtos, dois formatos por titulo e dois canais de venda, contra 6 horas planejadas de ofertas e cadastros.</t>
        </is>
      </c>
      <c r="G272" s="18" t="inlineStr">
        <is>
          <t>DOC-C09-011 (tres titulos, 'formato interativo + PDF complementar'), DOC-C09-013 (curso, 4 modulos), DOC-C09-016 ('A pagina propria e a Hotmart devem apontar para a mesma mensagem e oferta') e DOC-C08-008 ('Ofertas e cadastros 6' horas).</t>
        </is>
      </c>
      <c r="H272" s="17" t="inlineStr">
        <is>
          <t>DOC-C09-011;DOC-C09-013;DOC-C09-016;DOC-C08-008</t>
        </is>
      </c>
      <c r="I272" s="17" t="inlineStr">
        <is>
          <t>strong</t>
        </is>
      </c>
      <c r="J272" s="17" t="inlineStr">
        <is>
          <t>0.85</t>
        </is>
      </c>
      <c r="K272" s="17" t="inlineStr">
        <is>
          <t>inference</t>
        </is>
      </c>
      <c r="L272" s="17" t="inlineStr">
        <is>
          <t>high</t>
        </is>
      </c>
      <c r="M272" s="17" t="inlineStr">
        <is>
          <t>high</t>
        </is>
      </c>
      <c r="N272" s="18" t="inlineStr">
        <is>
          <t>Cortar escopo para um titulo em um formato e um canal no 07/09; o restante entra com data posterior, como o proprio requisito permite.</t>
        </is>
      </c>
    </row>
    <row r="273">
      <c r="A273" s="17" t="inlineStr">
        <is>
          <t>SA-10B</t>
        </is>
      </c>
      <c r="B273" s="17" t="inlineStr">
        <is>
          <t>ability_to_win</t>
        </is>
      </c>
      <c r="C273" s="17" t="inlineStr">
        <is>
          <t>ECO-05</t>
        </is>
      </c>
      <c r="D273" s="17" t="inlineStr">
        <is>
          <t>digital_product</t>
        </is>
      </c>
      <c r="E273" s="17" t="inlineStr">
        <is>
          <t>education_platform</t>
        </is>
      </c>
      <c r="F273" s="18" t="inlineStr">
        <is>
          <t>A capacidade de vencer no infoproduto e sustentada por espinha editorial propria e preco decidido, e limitada por producao ainda inexistente.</t>
        </is>
      </c>
      <c r="G273" s="18" t="inlineStr">
        <is>
          <t>A favor: 4E aplicado a todos os produtos, padrao de capitulo em 10 blocos e precos decididos (R$ 39,90 / R$ 97 / R$ 197) em DOC-C05-001. Contra: DOC-C09-013 lista 'descricao e promessa' e 'estrutura dos modulos' como itens ainda por fechar.</t>
        </is>
      </c>
      <c r="H273" s="17" t="inlineStr">
        <is>
          <t>DOC-C05-001;DOC-C09-013</t>
        </is>
      </c>
      <c r="I273" s="17" t="inlineStr">
        <is>
          <t>moderate</t>
        </is>
      </c>
      <c r="J273" s="17" t="inlineStr">
        <is>
          <t>0.75</t>
        </is>
      </c>
      <c r="K273" s="17" t="inlineStr">
        <is>
          <t>inference</t>
        </is>
      </c>
      <c r="L273" s="17" t="inlineStr">
        <is>
          <t>high</t>
        </is>
      </c>
      <c r="M273" s="17" t="inlineStr">
        <is>
          <t>high</t>
        </is>
      </c>
      <c r="N273" s="18" t="inlineStr">
        <is>
          <t>Gravar o modulo 01 e publicar um titulo completo antes de 05/09; sem entregavel real a espinha editorial nao converte.</t>
        </is>
      </c>
    </row>
    <row r="274">
      <c r="A274" s="17" t="inlineStr">
        <is>
          <t>SA-04B</t>
        </is>
      </c>
      <c r="B274" s="17" t="inlineStr">
        <is>
          <t>icp</t>
        </is>
      </c>
      <c r="C274" s="17" t="inlineStr">
        <is>
          <t>ECO-06</t>
        </is>
      </c>
      <c r="D274" s="17" t="inlineStr">
        <is>
          <t>digital_product</t>
        </is>
      </c>
      <c r="E274" s="17" t="n"/>
      <c r="F274" s="18" t="inlineStr">
        <is>
          <t>Nao existe ICP dos livros digitais: os tres titulos sao descritos por papel editorial, nao por leitor.</t>
        </is>
      </c>
      <c r="G274" s="18" t="inlineStr">
        <is>
          <t>DOC-C09-011: 'Aplicando o TDAH Adulto - tutorial pratico | TDAH e Gestao de Riscos na Pratica - risco aplicado | Gerenciando o TDAH Adulto 360 - visao sistemica'; nenhuma linha descreve para quem cada titulo existe.</t>
        </is>
      </c>
      <c r="H274" s="17" t="inlineStr">
        <is>
          <t>DOC-C09-011</t>
        </is>
      </c>
      <c r="I274" s="17" t="inlineStr">
        <is>
          <t>strong</t>
        </is>
      </c>
      <c r="J274" s="17" t="inlineStr">
        <is>
          <t>0.85</t>
        </is>
      </c>
      <c r="K274" s="17" t="inlineStr">
        <is>
          <t>gap</t>
        </is>
      </c>
      <c r="L274" s="17" t="inlineStr">
        <is>
          <t>high</t>
        </is>
      </c>
      <c r="M274" s="17" t="inlineStr">
        <is>
          <t>high</t>
        </is>
      </c>
      <c r="N274" s="18" t="inlineStr">
        <is>
          <t>Atribuir um leitor nomeado a cada titulo antes da capa final; sem isso os tres titulos competem entre si na mesma vitrine.</t>
        </is>
      </c>
    </row>
    <row r="275">
      <c r="A275" s="17" t="inlineStr">
        <is>
          <t>SA-08A</t>
        </is>
      </c>
      <c r="B275" s="17" t="inlineStr">
        <is>
          <t>company</t>
        </is>
      </c>
      <c r="C275" s="17" t="inlineStr">
        <is>
          <t>ECO-06</t>
        </is>
      </c>
      <c r="D275" s="17" t="inlineStr">
        <is>
          <t>digital_product</t>
        </is>
      </c>
      <c r="E275" s="17" t="inlineStr">
        <is>
          <t>owned_web</t>
        </is>
      </c>
      <c r="F275" s="18" t="inlineStr">
        <is>
          <t>A empresa posiciona os livros digitais como produto de entrada e aplicacao dentro da escada, e nao como produto principal.</t>
        </is>
      </c>
      <c r="G275" s="18" t="inlineStr">
        <is>
          <t>DOC-C09-016, Papel no lancamento: 'Livros digitais funcionam como produto de entrada e aplicacao. Curso funciona como aplicacao guiada'; Ecossistema: 'os e-books sao recortes aplicados e aprofundamentos' do curso produto-mae.</t>
        </is>
      </c>
      <c r="H275" s="17" t="inlineStr">
        <is>
          <t>DOC-C09-016;DOC-C05-001</t>
        </is>
      </c>
      <c r="I275" s="17" t="inlineStr">
        <is>
          <t>strong</t>
        </is>
      </c>
      <c r="J275" s="17" t="inlineStr">
        <is>
          <t>0.9</t>
        </is>
      </c>
      <c r="K275" s="17" t="inlineStr">
        <is>
          <t>fact</t>
        </is>
      </c>
      <c r="L275" s="17" t="inlineStr">
        <is>
          <t>high</t>
        </is>
      </c>
      <c r="M275" s="17" t="inlineStr">
        <is>
          <t>medium</t>
        </is>
      </c>
      <c r="N275" s="18" t="inlineStr">
        <is>
          <t>Ordenar a vitrine da biblioteca por essa hierarquia: livro digital como porta de entrada com CTA para o curso.</t>
        </is>
      </c>
    </row>
    <row r="276">
      <c r="A276" s="17" t="inlineStr">
        <is>
          <t>SA-09A</t>
        </is>
      </c>
      <c r="B276" s="17" t="inlineStr">
        <is>
          <t>strength</t>
        </is>
      </c>
      <c r="C276" s="17" t="inlineStr">
        <is>
          <t>ECO-06</t>
        </is>
      </c>
      <c r="D276" s="17" t="inlineStr">
        <is>
          <t>digital_product</t>
        </is>
      </c>
      <c r="E276" s="17" t="inlineStr">
        <is>
          <t>owned_web</t>
        </is>
      </c>
      <c r="F276" s="18" t="inlineStr">
        <is>
          <t>A linha de livros tem microestrutura de capitulo padronizada em dez blocos, o que torna a producao repetivel.</t>
        </is>
      </c>
      <c r="G276" s="18" t="inlineStr">
        <is>
          <t>Ecossistema, 'Microestrutura obrigatoria de cada capitulo': '01 Situacao real | 02 Entenda em 2 minutos | 03 Mapa visual | 04 Por que isso acontece | 05 Na pratica | 06 Faca agora | 07 Ferramenta | 08 Interacao | 09 Evidencia | 10 Proximo passo'.</t>
        </is>
      </c>
      <c r="H276" s="17" t="inlineStr">
        <is>
          <t>DOC-C05-001;DOC-C09-011</t>
        </is>
      </c>
      <c r="I276" s="17" t="inlineStr">
        <is>
          <t>strong</t>
        </is>
      </c>
      <c r="J276" s="17" t="inlineStr">
        <is>
          <t>0.9</t>
        </is>
      </c>
      <c r="K276" s="17" t="inlineStr">
        <is>
          <t>fact</t>
        </is>
      </c>
      <c r="L276" s="17" t="inlineStr">
        <is>
          <t>high</t>
        </is>
      </c>
      <c r="M276" s="17" t="inlineStr">
        <is>
          <t>medium</t>
        </is>
      </c>
      <c r="N276" s="18" t="inlineStr">
        <is>
          <t>Usar os dez blocos como gabarito de escrita e como definicao de pronto de cada capitulo.</t>
        </is>
      </c>
    </row>
    <row r="277">
      <c r="A277" s="17" t="inlineStr">
        <is>
          <t>SA-09D</t>
        </is>
      </c>
      <c r="B277" s="17" t="inlineStr">
        <is>
          <t>threat</t>
        </is>
      </c>
      <c r="C277" s="17" t="inlineStr">
        <is>
          <t>ECO-06</t>
        </is>
      </c>
      <c r="D277" s="17" t="inlineStr">
        <is>
          <t>digital_product</t>
        </is>
      </c>
      <c r="E277" s="17" t="inlineStr">
        <is>
          <t>owned_web</t>
        </is>
      </c>
      <c r="F277" s="18" t="inlineStr">
        <is>
          <t>O maior risco da linha de livros e prometer catalogo maior do que o que existe, ja materializado em peca visual.</t>
        </is>
      </c>
      <c r="G277" s="18" t="inlineStr">
        <is>
          <t>DOC-C13-005 exibe cinco capas e cinco categorias; DOC-C09-011 tem tres titulos em estado 'estruturar cadastro'; DOC-C13-004 adverte: 'Estas imagens sao referencias de direcao visual e produto... nao confunda referencia com material aprovado para publicacao'.</t>
        </is>
      </c>
      <c r="H277" s="17" t="inlineStr">
        <is>
          <t>DOC-C13-005;DOC-C09-011;DOC-C13-004</t>
        </is>
      </c>
      <c r="I277" s="17" t="inlineStr">
        <is>
          <t>strong</t>
        </is>
      </c>
      <c r="J277" s="17" t="inlineStr">
        <is>
          <t>0.85</t>
        </is>
      </c>
      <c r="K277" s="17" t="inlineStr">
        <is>
          <t>fact</t>
        </is>
      </c>
      <c r="L277" s="17" t="inlineStr">
        <is>
          <t>high</t>
        </is>
      </c>
      <c r="M277" s="17" t="inlineStr">
        <is>
          <t>high</t>
        </is>
      </c>
      <c r="N277" s="18" t="inlineStr">
        <is>
          <t>Bloquear a publicacao de qualquer peca de catalogo que exiba titulo sem arquivo pronto ou data de entrega declarada.</t>
        </is>
      </c>
    </row>
    <row r="278">
      <c r="A278" s="17" t="inlineStr">
        <is>
          <t>SA-10A</t>
        </is>
      </c>
      <c r="B278" s="17" t="inlineStr">
        <is>
          <t>market_attractiveness</t>
        </is>
      </c>
      <c r="C278" s="17" t="inlineStr">
        <is>
          <t>ECO-08</t>
        </is>
      </c>
      <c r="D278" s="17" t="inlineStr">
        <is>
          <t>content_community</t>
        </is>
      </c>
      <c r="E278" s="17" t="inlineStr">
        <is>
          <t>social</t>
        </is>
      </c>
      <c r="F278" s="18" t="inlineStr">
        <is>
          <t>Nao ha dados de atratividade do mercado de conteudo: nem custo por seguidor, nem alcance de referencia, nem benchmark de canal.</t>
        </is>
      </c>
      <c r="G278" s="18" t="inlineStr">
        <is>
          <t>As notas de publicacao (DOC-C14-004, DOC-C14-005, DOC-C14-006) tem apenas tarefa e campo Evidencia; a agenda mestra (DOC-C14-007) tem todas as datas como 'preencher'; o BMC registra '% geral nao informado'.</t>
        </is>
      </c>
      <c r="H278" s="17" t="inlineStr">
        <is>
          <t>DOC-C14-004;DOC-C14-005;DOC-C14-006;DOC-C14-007;DOC-C02-039</t>
        </is>
      </c>
      <c r="I278" s="17" t="inlineStr">
        <is>
          <t>strong</t>
        </is>
      </c>
      <c r="J278" s="17" t="inlineStr">
        <is>
          <t>0.85</t>
        </is>
      </c>
      <c r="K278" s="17" t="inlineStr">
        <is>
          <t>gap</t>
        </is>
      </c>
      <c r="L278" s="17" t="inlineStr">
        <is>
          <t>medium</t>
        </is>
      </c>
      <c r="M278" s="17" t="inlineStr">
        <is>
          <t>medium</t>
        </is>
      </c>
      <c r="N278" s="18" t="inlineStr">
        <is>
          <t>Registrar a linha de base de cada canal antes de 07/09 para que a campanha produza um benchmark proprio.</t>
        </is>
      </c>
    </row>
    <row r="279">
      <c r="A279" s="17" t="inlineStr">
        <is>
          <t>SA-09C</t>
        </is>
      </c>
      <c r="B279" s="17" t="inlineStr">
        <is>
          <t>opportunity</t>
        </is>
      </c>
      <c r="C279" s="17" t="inlineStr">
        <is>
          <t>ECO-08</t>
        </is>
      </c>
      <c r="D279" s="17" t="inlineStr">
        <is>
          <t>content_community</t>
        </is>
      </c>
      <c r="E279" s="17" t="inlineStr">
        <is>
          <t>owned_web</t>
        </is>
      </c>
      <c r="F279" s="18" t="inlineStr">
        <is>
          <t>A maior oportunidade do ecossistema creator e o efeito composto de uma peca canonica que alimenta simultaneamente biblioteca, e-book e curso.</t>
        </is>
      </c>
      <c r="G279" s="18" t="inlineStr">
        <is>
          <t>Ecossistema, cadeia unica de valor editorial: '05 Artigo canonico SSOT editorial ... 10 E-book Aplicacao estruturada | 11 Curso Aplicacao guiada | 13 Caso e evidencia Voltam a materia-prima editorial'; e '11 Trecho reaproveitavel no e-book/curso' entre as doze projecoes.</t>
        </is>
      </c>
      <c r="H279" s="17" t="inlineStr">
        <is>
          <t>DOC-C05-001</t>
        </is>
      </c>
      <c r="I279" s="17" t="inlineStr">
        <is>
          <t>strong</t>
        </is>
      </c>
      <c r="J279" s="17" t="inlineStr">
        <is>
          <t>0.85</t>
        </is>
      </c>
      <c r="K279" s="17" t="inlineStr">
        <is>
          <t>fact</t>
        </is>
      </c>
      <c r="L279" s="17" t="inlineStr">
        <is>
          <t>high</t>
        </is>
      </c>
      <c r="M279" s="17" t="inlineStr">
        <is>
          <t>medium</t>
        </is>
      </c>
      <c r="N279" s="18" t="inlineStr">
        <is>
          <t>Escrever as tres pecas editoriais do lancamento ja como capitulos reaproveitaveis dos livros digitais, nao como posts avulsos.</t>
        </is>
      </c>
    </row>
    <row r="280">
      <c r="A280" s="17" t="inlineStr">
        <is>
          <t>SA-08B</t>
        </is>
      </c>
      <c r="B280" s="17" t="inlineStr">
        <is>
          <t>customer</t>
        </is>
      </c>
      <c r="C280" s="17" t="inlineStr">
        <is>
          <t>ECO-08</t>
        </is>
      </c>
      <c r="D280" s="17" t="inlineStr">
        <is>
          <t>content_community</t>
        </is>
      </c>
      <c r="E280" s="17" t="inlineStr">
        <is>
          <t>owned_web</t>
        </is>
      </c>
      <c r="F280" s="18" t="inlineStr">
        <is>
          <t>O relacionamento com a audiencia esta definido por acoes de baixo compromisso antes de qualquer oferta.</t>
        </is>
      </c>
      <c r="G280" s="18" t="inlineStr">
        <is>
          <t>BMC, Relacao com audiencia: 'Ler, explorar, assinar e baixar o Mapa de Risco Cognitivo; medir interesse antes de introduzir o EXECUTAR'; texto 2.txt: 'com CTA para ler, explorar, assinar ou baixar - nao para comprar/conhecer o EXECUTAR'.</t>
        </is>
      </c>
      <c r="H280" s="17" t="inlineStr">
        <is>
          <t>DOC-C02-039;DOC-C02-042</t>
        </is>
      </c>
      <c r="I280" s="17" t="inlineStr">
        <is>
          <t>strong</t>
        </is>
      </c>
      <c r="J280" s="17" t="inlineStr">
        <is>
          <t>0.9</t>
        </is>
      </c>
      <c r="K280" s="17" t="inlineStr">
        <is>
          <t>fact</t>
        </is>
      </c>
      <c r="L280" s="17" t="inlineStr">
        <is>
          <t>high</t>
        </is>
      </c>
      <c r="M280" s="17" t="inlineStr">
        <is>
          <t>medium</t>
        </is>
      </c>
      <c r="N280" s="18" t="inlineStr">
        <is>
          <t>Manter a campanha de categoria sem CTA de compra e medir assinatura e download como conversao primaria.</t>
        </is>
      </c>
    </row>
  </sheetData>
  <autoFilter ref="A1:N2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56" customWidth="1" min="4" max="4"/>
    <col width="12" customWidth="1" min="5" max="5"/>
    <col width="12" customWidth="1" min="6" max="6"/>
    <col width="12" customWidth="1" min="7" max="7"/>
    <col width="15" customWidth="1" min="8" max="8"/>
    <col width="70" customWidth="1" min="9" max="9"/>
    <col width="12" customWidth="1" min="10" max="10"/>
    <col width="12" customWidth="1" min="11" max="11"/>
    <col width="12" customWidth="1" min="12" max="12"/>
  </cols>
  <sheetData>
    <row r="1">
      <c r="A1" s="16" t="inlineStr">
        <is>
          <t>evidencia_id</t>
        </is>
      </c>
      <c r="B1" s="16" t="inlineStr">
        <is>
          <t>origem</t>
        </is>
      </c>
      <c r="C1" s="16" t="inlineStr">
        <is>
          <t>rodada</t>
        </is>
      </c>
      <c r="D1" s="16" t="inlineStr">
        <is>
          <t>claim_ou_campo</t>
        </is>
      </c>
      <c r="E1" s="16" t="inlineStr">
        <is>
          <t>framework</t>
        </is>
      </c>
      <c r="F1" s="16" t="inlineStr">
        <is>
          <t>dimensao</t>
        </is>
      </c>
      <c r="G1" s="16" t="inlineStr">
        <is>
          <t>unidade</t>
        </is>
      </c>
      <c r="H1" s="16" t="inlineStr">
        <is>
          <t>documento_id</t>
        </is>
      </c>
      <c r="I1" s="16" t="inlineStr">
        <is>
          <t>evidencia</t>
        </is>
      </c>
      <c r="J1" s="16" t="inlineStr">
        <is>
          <t>forca</t>
        </is>
      </c>
      <c r="K1" s="16" t="inlineStr">
        <is>
          <t>confianca</t>
        </is>
      </c>
      <c r="L1" s="16" t="inlineStr">
        <is>
          <t>status</t>
        </is>
      </c>
    </row>
    <row r="2">
      <c r="A2" s="17" t="inlineStr">
        <is>
          <t>EV-8a4ad69b20</t>
        </is>
      </c>
      <c r="B2" s="17" t="inlineStr">
        <is>
          <t>strategic_analysis</t>
        </is>
      </c>
      <c r="C2" s="17" t="inlineStr">
        <is>
          <t>r1</t>
        </is>
      </c>
      <c r="D2" s="18" t="inlineStr">
        <is>
          <t>Posicionar o app como diagnostico ou tratamento de TDAH pode acionar o regime de Software como Dispositivo Medico da Anvisa.</t>
        </is>
      </c>
      <c r="E2" s="17" t="inlineStr">
        <is>
          <t>SA-01</t>
        </is>
      </c>
      <c r="F2" s="17" t="inlineStr">
        <is>
          <t>legal_regulatory</t>
        </is>
      </c>
      <c r="G2" s="17" t="inlineStr">
        <is>
          <t>ECO-01</t>
        </is>
      </c>
      <c r="H2" s="17" t="inlineStr">
        <is>
          <t>DOC-C07-009</t>
        </is>
      </c>
      <c r="I2" s="18" t="inlineStr">
        <is>
          <t>Fonte SRC-RG8-ANVISA-SAMD no dashboard: 'RDC 657/2022 - Software como Dispositivo Medico... Enquadramento SaMD depende da indicacao e funcao; software que diagnostica/trata pode entrar no regime regulatorio.'</t>
        </is>
      </c>
      <c r="J2" s="17" t="inlineStr">
        <is>
          <t>strong</t>
        </is>
      </c>
      <c r="K2" s="17" t="inlineStr">
        <is>
          <t>0.9</t>
        </is>
      </c>
      <c r="L2" s="17" t="inlineStr">
        <is>
          <t>fact</t>
        </is>
      </c>
    </row>
    <row r="3">
      <c r="A3" s="17" t="inlineStr">
        <is>
          <t>EV-495a2f033b</t>
        </is>
      </c>
      <c r="B3" s="17" t="inlineStr">
        <is>
          <t>strategic_analysis</t>
        </is>
      </c>
      <c r="C3" s="17" t="inlineStr">
        <is>
          <t>r1</t>
        </is>
      </c>
      <c r="D3" s="18" t="inlineStr">
        <is>
          <t>Coletar diagnostico de TDAH no onboarding transformaria a base em dado pessoal sensivel sob a LGPD, sem necessidade funcional.</t>
        </is>
      </c>
      <c r="E3" s="17" t="inlineStr">
        <is>
          <t>SA-01</t>
        </is>
      </c>
      <c r="F3" s="17" t="inlineStr">
        <is>
          <t>legal_regulatory</t>
        </is>
      </c>
      <c r="G3" s="17" t="inlineStr">
        <is>
          <t>ECO-01</t>
        </is>
      </c>
      <c r="H3" s="17" t="inlineStr">
        <is>
          <t>DOC-C07-009</t>
        </is>
      </c>
      <c r="I3" s="18" t="inlineStr">
        <is>
          <t>Fonte SRC-RG8-ANPD-LGPD: 'Dado referente a saude e dado pessoal sensivel; minimizacao favorece nao coletar diagnostico quando desnecessario.' Decisao ICP-01: 'diagnostico nao define o ICP comercial inicial'.</t>
        </is>
      </c>
      <c r="J3" s="17" t="inlineStr">
        <is>
          <t>strong</t>
        </is>
      </c>
      <c r="K3" s="17" t="inlineStr">
        <is>
          <t>0.9</t>
        </is>
      </c>
      <c r="L3" s="17" t="inlineStr">
        <is>
          <t>fact</t>
        </is>
      </c>
    </row>
    <row r="4">
      <c r="A4" s="17" t="inlineStr">
        <is>
          <t>EV-de94db3e25</t>
        </is>
      </c>
      <c r="B4" s="17" t="inlineStr">
        <is>
          <t>strategic_analysis</t>
        </is>
      </c>
      <c r="C4" s="17" t="inlineStr">
        <is>
          <t>r1</t>
        </is>
      </c>
      <c r="D4" s="18" t="inlineStr">
        <is>
          <t>A politica de claims proibe hoje seis formulacoes clinicas no conteudo editorial e comercial.</t>
        </is>
      </c>
      <c r="E4" s="17" t="inlineStr">
        <is>
          <t>SA-01</t>
        </is>
      </c>
      <c r="F4" s="17" t="inlineStr">
        <is>
          <t>legal_regulatory</t>
        </is>
      </c>
      <c r="G4" s="17" t="inlineStr">
        <is>
          <t>ECO-02</t>
        </is>
      </c>
      <c r="H4" s="17" t="inlineStr">
        <is>
          <t>DOC-C07-009</t>
        </is>
      </c>
      <c r="I4" s="18" t="inlineStr">
        <is>
          <t>claims_policy.prohibited_now: 'Reduz sintomas de TDAH', 'Melhora funcao executiva clinicamente', 'Trata TDAH', 'Diagnostica ou identifica TDAH', 'Substitui terapia, tratamento ou medicacao', 'Cientificamente comprovado para TDAH'.</t>
        </is>
      </c>
      <c r="J4" s="17" t="inlineStr">
        <is>
          <t>strong</t>
        </is>
      </c>
      <c r="K4" s="17" t="inlineStr">
        <is>
          <t>0.9</t>
        </is>
      </c>
      <c r="L4" s="17" t="inlineStr">
        <is>
          <t>fact</t>
        </is>
      </c>
    </row>
    <row r="5">
      <c r="A5" s="17" t="inlineStr">
        <is>
          <t>EV-f04a701f8e</t>
        </is>
      </c>
      <c r="B5" s="17" t="inlineStr">
        <is>
          <t>strategic_analysis</t>
        </is>
      </c>
      <c r="C5" s="17" t="inlineStr">
        <is>
          <t>r1</t>
        </is>
      </c>
      <c r="D5" s="18" t="inlineStr">
        <is>
          <t>Qualquer estudo proprio de eficacia com participantes humanos fica sujeito a Resolucao CNS 466/2012.</t>
        </is>
      </c>
      <c r="E5" s="17" t="inlineStr">
        <is>
          <t>SA-01</t>
        </is>
      </c>
      <c r="F5" s="17" t="inlineStr">
        <is>
          <t>ethical</t>
        </is>
      </c>
      <c r="G5" s="17" t="inlineStr">
        <is>
          <t>ECO-03</t>
        </is>
      </c>
      <c r="H5" s="17" t="inlineStr">
        <is>
          <t>DOC-C07-009</t>
        </is>
      </c>
      <c r="I5" s="18" t="inlineStr">
        <is>
          <t>Fonte SRC-RG8-CNS-466: 'Resolucao CNS 466/2012'; decisao EFFICACY-01 exige 'protocolo proprio, diagnostico confirmado, instrumento validado, comparador e revisao etica aplicavel'.</t>
        </is>
      </c>
      <c r="J5" s="17" t="inlineStr">
        <is>
          <t>strong</t>
        </is>
      </c>
      <c r="K5" s="17" t="inlineStr">
        <is>
          <t>0.85</t>
        </is>
      </c>
      <c r="L5" s="17" t="inlineStr">
        <is>
          <t>fact</t>
        </is>
      </c>
    </row>
    <row r="6">
      <c r="A6" s="17" t="inlineStr">
        <is>
          <t>EV-69f96afd6b</t>
        </is>
      </c>
      <c r="B6" s="17" t="inlineStr">
        <is>
          <t>strategic_analysis</t>
        </is>
      </c>
      <c r="C6" s="17" t="inlineStr">
        <is>
          <t>r1</t>
        </is>
      </c>
      <c r="D6" s="18" t="inlineStr">
        <is>
          <t>Qualquer estudo proprio de eficacia com participantes humanos fica sujeito a Resolucao CNS 466/2012.</t>
        </is>
      </c>
      <c r="E6" s="17" t="inlineStr">
        <is>
          <t>SA-01</t>
        </is>
      </c>
      <c r="F6" s="17" t="inlineStr">
        <is>
          <t>ethical</t>
        </is>
      </c>
      <c r="G6" s="17" t="inlineStr">
        <is>
          <t>ECO-03</t>
        </is>
      </c>
      <c r="H6" s="17" t="inlineStr">
        <is>
          <t>DOC-C02-015</t>
        </is>
      </c>
      <c r="I6" s="18" t="inlineStr">
        <is>
          <t>Fonte SRC-RG8-CNS-466: 'Resolucao CNS 466/2012'; decisao EFFICACY-01 exige 'protocolo proprio, diagnostico confirmado, instrumento validado, comparador e revisao etica aplicavel'.</t>
        </is>
      </c>
      <c r="J6" s="17" t="inlineStr">
        <is>
          <t>strong</t>
        </is>
      </c>
      <c r="K6" s="17" t="inlineStr">
        <is>
          <t>0.85</t>
        </is>
      </c>
      <c r="L6" s="17" t="inlineStr">
        <is>
          <t>fact</t>
        </is>
      </c>
    </row>
    <row r="7">
      <c r="A7" s="17" t="inlineStr">
        <is>
          <t>EV-a783716a71</t>
        </is>
      </c>
      <c r="B7" s="17" t="inlineStr">
        <is>
          <t>strategic_analysis</t>
        </is>
      </c>
      <c r="C7" s="17" t="inlineStr">
        <is>
          <t>r1</t>
        </is>
      </c>
      <c r="D7" s="18" t="inlineStr">
        <is>
          <t>O Brasil tinha 26,1 milhoes de trabalhadores por conta propria em 2025, contexto do ICP de profissionais independentes.</t>
        </is>
      </c>
      <c r="E7" s="17" t="inlineStr">
        <is>
          <t>SA-01</t>
        </is>
      </c>
      <c r="F7" s="17" t="inlineStr">
        <is>
          <t>social</t>
        </is>
      </c>
      <c r="G7" s="17" t="inlineStr">
        <is>
          <t>ECO-01</t>
        </is>
      </c>
      <c r="H7" s="17" t="inlineStr">
        <is>
          <t>DOC-C07-009</t>
        </is>
      </c>
      <c r="I7" s="18" t="inlineStr">
        <is>
          <t>Finding BRA-MKT-01, fonte SRC-RG8-IBGE-SELFEMPLOYED-2025 (PNAD Continua): '26,1 milhoes de trabalhadores por conta propria em 2025'. Uso declarado: 'Contexto de mercado; nao equivale a TAM do EXECUTAR.'</t>
        </is>
      </c>
      <c r="J7" s="17" t="inlineStr">
        <is>
          <t>strong</t>
        </is>
      </c>
      <c r="K7" s="17" t="inlineStr">
        <is>
          <t>0.9</t>
        </is>
      </c>
      <c r="L7" s="17" t="inlineStr">
        <is>
          <t>fact</t>
        </is>
      </c>
    </row>
    <row r="8">
      <c r="A8" s="17" t="inlineStr">
        <is>
          <t>EV-147350e17f</t>
        </is>
      </c>
      <c r="B8" s="17" t="inlineStr">
        <is>
          <t>strategic_analysis</t>
        </is>
      </c>
      <c r="C8" s="17" t="inlineStr">
        <is>
          <t>r1</t>
        </is>
      </c>
      <c r="D8" s="18" t="inlineStr">
        <is>
          <t>O acesso a internet no Brasil e majoritariamente movel, sustentando arquitetura mobile-first.</t>
        </is>
      </c>
      <c r="E8" s="17" t="inlineStr">
        <is>
          <t>SA-01</t>
        </is>
      </c>
      <c r="F8" s="17" t="inlineStr">
        <is>
          <t>technological</t>
        </is>
      </c>
      <c r="G8" s="17" t="inlineStr">
        <is>
          <t>ECO-01</t>
        </is>
      </c>
      <c r="H8" s="17" t="inlineStr">
        <is>
          <t>DOC-C07-009</t>
        </is>
      </c>
      <c r="I8" s="18" t="inlineStr">
        <is>
          <t>Finding BRA-MOBILE-01 (IBGE 2025): '90,5% da populacao de 10+ usava internet e 98,7% dos usuarios acessavam por celular'. Uso: 'Sustenta estrategia mobile-first; nao prova preferencia especifica do ICP.'</t>
        </is>
      </c>
      <c r="J8" s="17" t="inlineStr">
        <is>
          <t>strong</t>
        </is>
      </c>
      <c r="K8" s="17" t="inlineStr">
        <is>
          <t>0.85</t>
        </is>
      </c>
      <c r="L8" s="17" t="inlineStr">
        <is>
          <t>fact</t>
        </is>
      </c>
    </row>
    <row r="9">
      <c r="A9" s="17" t="inlineStr">
        <is>
          <t>EV-161a0a642b</t>
        </is>
      </c>
      <c r="B9" s="17" t="inlineStr">
        <is>
          <t>strategic_analysis</t>
        </is>
      </c>
      <c r="C9" s="17" t="inlineStr">
        <is>
          <t>r1</t>
        </is>
      </c>
      <c r="D9" s="18" t="inlineStr">
        <is>
          <t>Ha estimativas internacionais de carga economica excedente associada ao TDAH adulto que sustentam o problema, mas nao sao perda individual.</t>
        </is>
      </c>
      <c r="E9" s="17" t="inlineStr">
        <is>
          <t>SA-01</t>
        </is>
      </c>
      <c r="F9" s="17" t="inlineStr">
        <is>
          <t>economic</t>
        </is>
      </c>
      <c r="G9" s="17" t="inlineStr">
        <is>
          <t>ECO-03</t>
        </is>
      </c>
      <c r="H9" s="17" t="inlineStr">
        <is>
          <t>DOC-C02-021</t>
        </is>
      </c>
      <c r="I9" s="18" t="inlineStr">
        <is>
          <t>RC-003: 'US$ 14.092 de custo excedente por adulto/ano'; RC-004: 'EUR 15.652 por adulto diagnosticado/ano'; guardrail: 'valor e carga economica/social media, nao perda literal individual'.</t>
        </is>
      </c>
      <c r="J9" s="17" t="inlineStr">
        <is>
          <t>strong</t>
        </is>
      </c>
      <c r="K9" s="17" t="inlineStr">
        <is>
          <t>0.85</t>
        </is>
      </c>
      <c r="L9" s="17" t="inlineStr">
        <is>
          <t>fact</t>
        </is>
      </c>
    </row>
    <row r="10">
      <c r="A10" s="17" t="inlineStr">
        <is>
          <t>EV-eb5f8c5c02</t>
        </is>
      </c>
      <c r="B10" s="17" t="inlineStr">
        <is>
          <t>strategic_analysis</t>
        </is>
      </c>
      <c r="C10" s="17" t="inlineStr">
        <is>
          <t>r1</t>
        </is>
      </c>
      <c r="D10" s="18" t="inlineStr">
        <is>
          <t>Ha estimativas internacionais de carga economica excedente associada ao TDAH adulto que sustentam o problema, mas nao sao perda individual.</t>
        </is>
      </c>
      <c r="E10" s="17" t="inlineStr">
        <is>
          <t>SA-01</t>
        </is>
      </c>
      <c r="F10" s="17" t="inlineStr">
        <is>
          <t>economic</t>
        </is>
      </c>
      <c r="G10" s="17" t="inlineStr">
        <is>
          <t>ECO-03</t>
        </is>
      </c>
      <c r="H10" s="17" t="inlineStr">
        <is>
          <t>DOC-C02-032</t>
        </is>
      </c>
      <c r="I10" s="18" t="inlineStr">
        <is>
          <t>RC-003: 'US$ 14.092 de custo excedente por adulto/ano'; RC-004: 'EUR 15.652 por adulto diagnosticado/ano'; guardrail: 'valor e carga economica/social media, nao perda literal individual'.</t>
        </is>
      </c>
      <c r="J10" s="17" t="inlineStr">
        <is>
          <t>strong</t>
        </is>
      </c>
      <c r="K10" s="17" t="inlineStr">
        <is>
          <t>0.85</t>
        </is>
      </c>
      <c r="L10" s="17" t="inlineStr">
        <is>
          <t>fact</t>
        </is>
      </c>
    </row>
    <row r="11">
      <c r="A11" s="17" t="inlineStr">
        <is>
          <t>EV-dd70afc2df</t>
        </is>
      </c>
      <c r="B11" s="17" t="inlineStr">
        <is>
          <t>strategic_analysis</t>
        </is>
      </c>
      <c r="C11" s="17" t="inlineStr">
        <is>
          <t>r1</t>
        </is>
      </c>
      <c r="D11" s="18" t="inlineStr">
        <is>
          <t>Ha estimativas internacionais de carga economica excedente associada ao TDAH adulto que sustentam o problema, mas nao sao perda individual.</t>
        </is>
      </c>
      <c r="E11" s="17" t="inlineStr">
        <is>
          <t>SA-01</t>
        </is>
      </c>
      <c r="F11" s="17" t="inlineStr">
        <is>
          <t>economic</t>
        </is>
      </c>
      <c r="G11" s="17" t="inlineStr">
        <is>
          <t>ECO-03</t>
        </is>
      </c>
      <c r="H11" s="17" t="inlineStr">
        <is>
          <t>DOC-C02-043</t>
        </is>
      </c>
      <c r="I11" s="18" t="inlineStr">
        <is>
          <t>RC-003: 'US$ 14.092 de custo excedente por adulto/ano'; RC-004: 'EUR 15.652 por adulto diagnosticado/ano'; guardrail: 'valor e carga economica/social media, nao perda literal individual'.</t>
        </is>
      </c>
      <c r="J11" s="17" t="inlineStr">
        <is>
          <t>strong</t>
        </is>
      </c>
      <c r="K11" s="17" t="inlineStr">
        <is>
          <t>0.85</t>
        </is>
      </c>
      <c r="L11" s="17" t="inlineStr">
        <is>
          <t>fact</t>
        </is>
      </c>
    </row>
    <row r="12">
      <c r="A12" s="17" t="inlineStr">
        <is>
          <t>EV-421441a4cc</t>
        </is>
      </c>
      <c r="B12" s="17" t="inlineStr">
        <is>
          <t>strategic_analysis</t>
        </is>
      </c>
      <c r="C12" s="17" t="inlineStr">
        <is>
          <t>r1</t>
        </is>
      </c>
      <c r="D12" s="18" t="inlineStr">
        <is>
          <t>Evidencia brasileira populacional associa rastreio positivo de TDAH a maior desemprego, com n=2.297 e 4,59% de rastreio positivo.</t>
        </is>
      </c>
      <c r="E12" s="17" t="inlineStr">
        <is>
          <t>SA-01</t>
        </is>
      </c>
      <c r="F12" s="17" t="inlineStr">
        <is>
          <t>social</t>
        </is>
      </c>
      <c r="G12" s="17" t="inlineStr">
        <is>
          <t>ECO-02</t>
        </is>
      </c>
      <c r="H12" s="17" t="inlineStr">
        <is>
          <t>DOC-C02-032</t>
        </is>
      </c>
      <c r="I12" s="18" t="inlineStr">
        <is>
          <t>RC-SRC-004 (Mattos et al., 2024, J Atten Disord): 'n=2.297; 4,59% de TDAH sintomatico (IC95% 3,56-5,44)'; limitacao registrada: 'ASRS-6 e screener; nao apresentar 4,59% como prevalencia diagnostica nacional'.</t>
        </is>
      </c>
      <c r="J12" s="17" t="inlineStr">
        <is>
          <t>strong</t>
        </is>
      </c>
      <c r="K12" s="17" t="inlineStr">
        <is>
          <t>0.9</t>
        </is>
      </c>
      <c r="L12" s="17" t="inlineStr">
        <is>
          <t>fact</t>
        </is>
      </c>
    </row>
    <row r="13">
      <c r="A13" s="17" t="inlineStr">
        <is>
          <t>EV-c571b97b66</t>
        </is>
      </c>
      <c r="B13" s="17" t="inlineStr">
        <is>
          <t>strategic_analysis</t>
        </is>
      </c>
      <c r="C13" s="17" t="inlineStr">
        <is>
          <t>r1</t>
        </is>
      </c>
      <c r="D13" s="18" t="inlineStr">
        <is>
          <t>Evidencia brasileira populacional associa rastreio positivo de TDAH a maior desemprego, com n=2.297 e 4,59% de rastreio positivo.</t>
        </is>
      </c>
      <c r="E13" s="17" t="inlineStr">
        <is>
          <t>SA-01</t>
        </is>
      </c>
      <c r="F13" s="17" t="inlineStr">
        <is>
          <t>social</t>
        </is>
      </c>
      <c r="G13" s="17" t="inlineStr">
        <is>
          <t>ECO-02</t>
        </is>
      </c>
      <c r="H13" s="17" t="inlineStr">
        <is>
          <t>DOC-C02-021</t>
        </is>
      </c>
      <c r="I13" s="18" t="inlineStr">
        <is>
          <t>RC-SRC-004 (Mattos et al., 2024, J Atten Disord): 'n=2.297; 4,59% de TDAH sintomatico (IC95% 3,56-5,44)'; limitacao registrada: 'ASRS-6 e screener; nao apresentar 4,59% como prevalencia diagnostica nacional'.</t>
        </is>
      </c>
      <c r="J13" s="17" t="inlineStr">
        <is>
          <t>strong</t>
        </is>
      </c>
      <c r="K13" s="17" t="inlineStr">
        <is>
          <t>0.9</t>
        </is>
      </c>
      <c r="L13" s="17" t="inlineStr">
        <is>
          <t>fact</t>
        </is>
      </c>
    </row>
    <row r="14">
      <c r="A14" s="17" t="inlineStr">
        <is>
          <t>EV-8a3c42b08b</t>
        </is>
      </c>
      <c r="B14" s="17" t="inlineStr">
        <is>
          <t>strategic_analysis</t>
        </is>
      </c>
      <c r="C14" s="17" t="inlineStr">
        <is>
          <t>r1</t>
        </is>
      </c>
      <c r="D14" s="18" t="inlineStr">
        <is>
          <t>Amostra brasileira de empreendedores mostrou 27,4% com rastreio positivo, sem associacao significativa com lucro.</t>
        </is>
      </c>
      <c r="E14" s="17" t="inlineStr">
        <is>
          <t>SA-01</t>
        </is>
      </c>
      <c r="F14" s="17" t="inlineStr">
        <is>
          <t>social</t>
        </is>
      </c>
      <c r="G14" s="17" t="inlineStr">
        <is>
          <t>ECO-02</t>
        </is>
      </c>
      <c r="H14" s="17" t="inlineStr">
        <is>
          <t>DOC-C02-021</t>
        </is>
      </c>
      <c r="I14" s="18" t="inlineStr">
        <is>
          <t>RC-006: 'Em amostra selecionada de 259 empreendedores, 71 (27,4%) preencheram criterios'; DOC-C02-042: 'maior risk-taking, menor proatividade e nenhuma associacao significativa com lucro'; guardrail: nao generalizar.</t>
        </is>
      </c>
      <c r="J14" s="17" t="inlineStr">
        <is>
          <t>moderate</t>
        </is>
      </c>
      <c r="K14" s="17" t="inlineStr">
        <is>
          <t>0.8</t>
        </is>
      </c>
      <c r="L14" s="17" t="inlineStr">
        <is>
          <t>fact</t>
        </is>
      </c>
    </row>
    <row r="15">
      <c r="A15" s="17" t="inlineStr">
        <is>
          <t>EV-6016f7338c</t>
        </is>
      </c>
      <c r="B15" s="17" t="inlineStr">
        <is>
          <t>strategic_analysis</t>
        </is>
      </c>
      <c r="C15" s="17" t="inlineStr">
        <is>
          <t>r1</t>
        </is>
      </c>
      <c r="D15" s="18" t="inlineStr">
        <is>
          <t>Amostra brasileira de empreendedores mostrou 27,4% com rastreio positivo, sem associacao significativa com lucro.</t>
        </is>
      </c>
      <c r="E15" s="17" t="inlineStr">
        <is>
          <t>SA-01</t>
        </is>
      </c>
      <c r="F15" s="17" t="inlineStr">
        <is>
          <t>social</t>
        </is>
      </c>
      <c r="G15" s="17" t="inlineStr">
        <is>
          <t>ECO-02</t>
        </is>
      </c>
      <c r="H15" s="17" t="inlineStr">
        <is>
          <t>DOC-C02-042</t>
        </is>
      </c>
      <c r="I15" s="18" t="inlineStr">
        <is>
          <t>RC-006: 'Em amostra selecionada de 259 empreendedores, 71 (27,4%) preencheram criterios'; DOC-C02-042: 'maior risk-taking, menor proatividade e nenhuma associacao significativa com lucro'; guardrail: nao generalizar.</t>
        </is>
      </c>
      <c r="J15" s="17" t="inlineStr">
        <is>
          <t>moderate</t>
        </is>
      </c>
      <c r="K15" s="17" t="inlineStr">
        <is>
          <t>0.8</t>
        </is>
      </c>
      <c r="L15" s="17" t="inlineStr">
        <is>
          <t>fact</t>
        </is>
      </c>
    </row>
    <row r="16">
      <c r="A16" s="17" t="inlineStr">
        <is>
          <t>EV-d0366af881</t>
        </is>
      </c>
      <c r="B16" s="17" t="inlineStr">
        <is>
          <t>strategic_analysis</t>
        </is>
      </c>
      <c r="C16" s="17" t="inlineStr">
        <is>
          <t>r1</t>
        </is>
      </c>
      <c r="D16" s="18" t="inlineStr">
        <is>
          <t>Amostra brasileira de empreendedores mostrou 27,4% com rastreio positivo, sem associacao significativa com lucro.</t>
        </is>
      </c>
      <c r="E16" s="17" t="inlineStr">
        <is>
          <t>SA-01</t>
        </is>
      </c>
      <c r="F16" s="17" t="inlineStr">
        <is>
          <t>social</t>
        </is>
      </c>
      <c r="G16" s="17" t="inlineStr">
        <is>
          <t>ECO-02</t>
        </is>
      </c>
      <c r="H16" s="17" t="inlineStr">
        <is>
          <t>DOC-C02-032</t>
        </is>
      </c>
      <c r="I16" s="18" t="inlineStr">
        <is>
          <t>RC-006: 'Em amostra selecionada de 259 empreendedores, 71 (27,4%) preencheram criterios'; DOC-C02-042: 'maior risk-taking, menor proatividade e nenhuma associacao significativa com lucro'; guardrail: nao generalizar.</t>
        </is>
      </c>
      <c r="J16" s="17" t="inlineStr">
        <is>
          <t>moderate</t>
        </is>
      </c>
      <c r="K16" s="17" t="inlineStr">
        <is>
          <t>0.8</t>
        </is>
      </c>
      <c r="L16" s="17" t="inlineStr">
        <is>
          <t>fact</t>
        </is>
      </c>
    </row>
    <row r="17">
      <c r="A17" s="17" t="inlineStr">
        <is>
          <t>EV-0b17a4aaa5</t>
        </is>
      </c>
      <c r="B17" s="17" t="inlineStr">
        <is>
          <t>strategic_analysis</t>
        </is>
      </c>
      <c r="C17" s="17" t="inlineStr">
        <is>
          <t>r1</t>
        </is>
      </c>
      <c r="D17" s="18" t="inlineStr">
        <is>
          <t>Ha evidencia internacional citada de 17,4% de demissoes em adultos com TDAH contra 3,7% em controles.</t>
        </is>
      </c>
      <c r="E17" s="17" t="inlineStr">
        <is>
          <t>SA-01</t>
        </is>
      </c>
      <c r="F17" s="17" t="inlineStr">
        <is>
          <t>social</t>
        </is>
      </c>
      <c r="G17" s="17" t="inlineStr">
        <is>
          <t>ECO-02</t>
        </is>
      </c>
      <c r="H17" s="17" t="inlineStr">
        <is>
          <t>DOC-C02-021</t>
        </is>
      </c>
      <c r="I17" s="18" t="inlineStr">
        <is>
          <t>RC-007: 'Estudo internacional citado reportou 17,4% de demissao em adultos com TDAH'; nota: 'A diferenca e aproximadamente 4,7 vezes, mas nao e dado brasileiro'.</t>
        </is>
      </c>
      <c r="J17" s="17" t="inlineStr">
        <is>
          <t>moderate</t>
        </is>
      </c>
      <c r="K17" s="17" t="inlineStr">
        <is>
          <t>0.75</t>
        </is>
      </c>
      <c r="L17" s="17" t="inlineStr">
        <is>
          <t>fact</t>
        </is>
      </c>
    </row>
    <row r="18">
      <c r="A18" s="17" t="inlineStr">
        <is>
          <t>EV-8d9f1d63d9</t>
        </is>
      </c>
      <c r="B18" s="17" t="inlineStr">
        <is>
          <t>strategic_analysis</t>
        </is>
      </c>
      <c r="C18" s="17" t="inlineStr">
        <is>
          <t>r1</t>
        </is>
      </c>
      <c r="D18" s="18" t="inlineStr">
        <is>
          <t>Ha evidencia internacional citada de 17,4% de demissoes em adultos com TDAH contra 3,7% em controles.</t>
        </is>
      </c>
      <c r="E18" s="17" t="inlineStr">
        <is>
          <t>SA-01</t>
        </is>
      </c>
      <c r="F18" s="17" t="inlineStr">
        <is>
          <t>social</t>
        </is>
      </c>
      <c r="G18" s="17" t="inlineStr">
        <is>
          <t>ECO-02</t>
        </is>
      </c>
      <c r="H18" s="17" t="inlineStr">
        <is>
          <t>DOC-C02-043</t>
        </is>
      </c>
      <c r="I18" s="18" t="inlineStr">
        <is>
          <t>RC-007: 'Estudo internacional citado reportou 17,4% de demissao em adultos com TDAH'; nota: 'A diferenca e aproximadamente 4,7 vezes, mas nao e dado brasileiro'.</t>
        </is>
      </c>
      <c r="J18" s="17" t="inlineStr">
        <is>
          <t>moderate</t>
        </is>
      </c>
      <c r="K18" s="17" t="inlineStr">
        <is>
          <t>0.75</t>
        </is>
      </c>
      <c r="L18" s="17" t="inlineStr">
        <is>
          <t>fact</t>
        </is>
      </c>
    </row>
    <row r="19">
      <c r="A19" s="17" t="inlineStr">
        <is>
          <t>EV-ad4e7387df</t>
        </is>
      </c>
      <c r="B19" s="17" t="inlineStr">
        <is>
          <t>strategic_analysis</t>
        </is>
      </c>
      <c r="C19" s="17" t="inlineStr">
        <is>
          <t>r1</t>
        </is>
      </c>
      <c r="D19" s="18" t="inlineStr">
        <is>
          <t>A APM publicou em 26/08/2026 a formulacao de que projetos tambem podem falhar cognitivamente, criando adjacencia temporal muito proxima a tese.</t>
        </is>
      </c>
      <c r="E19" s="17" t="inlineStr">
        <is>
          <t>SA-01</t>
        </is>
      </c>
      <c r="F19" s="17" t="inlineStr">
        <is>
          <t>competitive_political</t>
        </is>
      </c>
      <c r="G19" s="17" t="inlineStr">
        <is>
          <t>ECO-03</t>
        </is>
      </c>
      <c r="H19" s="17" t="inlineStr">
        <is>
          <t>DOC-C02-042</t>
        </is>
      </c>
      <c r="I19" s="18" t="inlineStr">
        <is>
          <t>DOC-C02-042 (Alerta): 'Sarah Gardner... publicou na APM em 26/08/2026 a formulacao de que projetos tambem podem falhar cognitivamente, embora seu foco seja IA, julgamento e governanca'; RC-TERM-009 marca STATUS SINAL_RECENTE.</t>
        </is>
      </c>
      <c r="J19" s="17" t="inlineStr">
        <is>
          <t>strong</t>
        </is>
      </c>
      <c r="K19" s="17" t="inlineStr">
        <is>
          <t>0.85</t>
        </is>
      </c>
      <c r="L19" s="17" t="inlineStr">
        <is>
          <t>fact</t>
        </is>
      </c>
    </row>
    <row r="20">
      <c r="A20" s="17" t="inlineStr">
        <is>
          <t>EV-62b0a91ffc</t>
        </is>
      </c>
      <c r="B20" s="17" t="inlineStr">
        <is>
          <t>strategic_analysis</t>
        </is>
      </c>
      <c r="C20" s="17" t="inlineStr">
        <is>
          <t>r1</t>
        </is>
      </c>
      <c r="D20" s="18" t="inlineStr">
        <is>
          <t>A APM publicou em 26/08/2026 a formulacao de que projetos tambem podem falhar cognitivamente, criando adjacencia temporal muito proxima a tese.</t>
        </is>
      </c>
      <c r="E20" s="17" t="inlineStr">
        <is>
          <t>SA-01</t>
        </is>
      </c>
      <c r="F20" s="17" t="inlineStr">
        <is>
          <t>competitive_political</t>
        </is>
      </c>
      <c r="G20" s="17" t="inlineStr">
        <is>
          <t>ECO-03</t>
        </is>
      </c>
      <c r="H20" s="17" t="inlineStr">
        <is>
          <t>DOC-C02-030</t>
        </is>
      </c>
      <c r="I20" s="18" t="inlineStr">
        <is>
          <t>DOC-C02-042 (Alerta): 'Sarah Gardner... publicou na APM em 26/08/2026 a formulacao de que projetos tambem podem falhar cognitivamente, embora seu foco seja IA, julgamento e governanca'; RC-TERM-009 marca STATUS SINAL_RECENTE.</t>
        </is>
      </c>
      <c r="J20" s="17" t="inlineStr">
        <is>
          <t>strong</t>
        </is>
      </c>
      <c r="K20" s="17" t="inlineStr">
        <is>
          <t>0.85</t>
        </is>
      </c>
      <c r="L20" s="17" t="inlineStr">
        <is>
          <t>fact</t>
        </is>
      </c>
    </row>
    <row r="21">
      <c r="A21" s="17" t="inlineStr">
        <is>
          <t>EV-027ebf9edf</t>
        </is>
      </c>
      <c r="B21" s="17" t="inlineStr">
        <is>
          <t>strategic_analysis</t>
        </is>
      </c>
      <c r="C21" s="17" t="inlineStr">
        <is>
          <t>r1</t>
        </is>
      </c>
      <c r="D21" s="18" t="inlineStr">
        <is>
          <t>A APM publicou em 26/08/2026 a formulacao de que projetos tambem podem falhar cognitivamente, criando adjacencia temporal muito proxima a tese.</t>
        </is>
      </c>
      <c r="E21" s="17" t="inlineStr">
        <is>
          <t>SA-01</t>
        </is>
      </c>
      <c r="F21" s="17" t="inlineStr">
        <is>
          <t>competitive_political</t>
        </is>
      </c>
      <c r="G21" s="17" t="inlineStr">
        <is>
          <t>ECO-03</t>
        </is>
      </c>
      <c r="H21" s="17" t="inlineStr">
        <is>
          <t>DOC-C02-022</t>
        </is>
      </c>
      <c r="I21" s="18" t="inlineStr">
        <is>
          <t>DOC-C02-042 (Alerta): 'Sarah Gardner... publicou na APM em 26/08/2026 a formulacao de que projetos tambem podem falhar cognitivamente, embora seu foco seja IA, julgamento e governanca'; RC-TERM-009 marca STATUS SINAL_RECENTE.</t>
        </is>
      </c>
      <c r="J21" s="17" t="inlineStr">
        <is>
          <t>strong</t>
        </is>
      </c>
      <c r="K21" s="17" t="inlineStr">
        <is>
          <t>0.85</t>
        </is>
      </c>
      <c r="L21" s="17" t="inlineStr">
        <is>
          <t>fact</t>
        </is>
      </c>
    </row>
    <row r="22">
      <c r="A22" s="17" t="inlineStr">
        <is>
          <t>EV-8d2050fb5e</t>
        </is>
      </c>
      <c r="B22" s="17" t="inlineStr">
        <is>
          <t>strategic_analysis</t>
        </is>
      </c>
      <c r="C22" s="17" t="inlineStr">
        <is>
          <t>r1</t>
        </is>
      </c>
      <c r="D22" s="18" t="inlineStr">
        <is>
          <t>O material interno cita R$ 3.498 como custo de avaliacao neuropsicologica, tratado como barreira economica de acesso ao diagnostico.</t>
        </is>
      </c>
      <c r="E22" s="17" t="inlineStr">
        <is>
          <t>SA-01</t>
        </is>
      </c>
      <c r="F22" s="17" t="inlineStr">
        <is>
          <t>economic</t>
        </is>
      </c>
      <c r="G22" s="17" t="inlineStr">
        <is>
          <t>ECO-02</t>
        </is>
      </c>
      <c r="H22" s="17" t="inlineStr">
        <is>
          <t>DOC-C07-007</t>
        </is>
      </c>
      <c r="I22" s="18" t="inlineStr">
        <is>
          <t>QT-0143: 'Custo citado de avaliacao neuropsicologica: 3498.0 R$'; observacao da propria fonte: 'A imagem cita a referencia por numero, mas a lista bibliografica [1]-[8] nao esta no material anexado'.</t>
        </is>
      </c>
      <c r="J22" s="17" t="inlineStr">
        <is>
          <t>weak</t>
        </is>
      </c>
      <c r="K22" s="17" t="inlineStr">
        <is>
          <t>0.45</t>
        </is>
      </c>
      <c r="L22" s="17" t="inlineStr">
        <is>
          <t>fact</t>
        </is>
      </c>
    </row>
    <row r="23">
      <c r="A23" s="17" t="inlineStr">
        <is>
          <t>EV-69bae07eb4</t>
        </is>
      </c>
      <c r="B23" s="17" t="inlineStr">
        <is>
          <t>strategic_analysis</t>
        </is>
      </c>
      <c r="C23" s="17" t="inlineStr">
        <is>
          <t>r1</t>
        </is>
      </c>
      <c r="D23" s="18" t="inlineStr">
        <is>
          <t>O material interno cita R$ 3.498 como custo de avaliacao neuropsicologica, tratado como barreira economica de acesso ao diagnostico.</t>
        </is>
      </c>
      <c r="E23" s="17" t="inlineStr">
        <is>
          <t>SA-01</t>
        </is>
      </c>
      <c r="F23" s="17" t="inlineStr">
        <is>
          <t>economic</t>
        </is>
      </c>
      <c r="G23" s="17" t="inlineStr">
        <is>
          <t>ECO-02</t>
        </is>
      </c>
      <c r="H23" s="17" t="inlineStr">
        <is>
          <t>DOC-C07-009</t>
        </is>
      </c>
      <c r="I23" s="18" t="inlineStr">
        <is>
          <t>QT-0143: 'Custo citado de avaliacao neuropsicologica: 3498.0 R$'; observacao da propria fonte: 'A imagem cita a referencia por numero, mas a lista bibliografica [1]-[8] nao esta no material anexado'.</t>
        </is>
      </c>
      <c r="J23" s="17" t="inlineStr">
        <is>
          <t>weak</t>
        </is>
      </c>
      <c r="K23" s="17" t="inlineStr">
        <is>
          <t>0.45</t>
        </is>
      </c>
      <c r="L23" s="17" t="inlineStr">
        <is>
          <t>fact</t>
        </is>
      </c>
    </row>
    <row r="24">
      <c r="A24" s="17" t="inlineStr">
        <is>
          <t>EV-87801cbac4</t>
        </is>
      </c>
      <c r="B24" s="17" t="inlineStr">
        <is>
          <t>strategic_analysis</t>
        </is>
      </c>
      <c r="C24" s="17" t="inlineStr">
        <is>
          <t>r1</t>
        </is>
      </c>
      <c r="D24" s="18" t="inlineStr">
        <is>
          <t>Nao ha analise PESTEL formal por unidade no acervo; os fatores existem dispersos em fontes de evidencia e decisao.</t>
        </is>
      </c>
      <c r="E24" s="17" t="inlineStr">
        <is>
          <t>SA-01</t>
        </is>
      </c>
      <c r="F24" s="17" t="inlineStr">
        <is>
          <t>environmental</t>
        </is>
      </c>
      <c r="G24" s="17" t="inlineStr">
        <is>
          <t>ECO-01</t>
        </is>
      </c>
      <c r="H24" s="17" t="inlineStr">
        <is>
          <t>DOC-C07-009</t>
        </is>
      </c>
      <c r="I24" s="18" t="inlineStr">
        <is>
          <t>Nenhum documento lido apresenta secao PESTEL; os fatores regulatorios estao no dashboard de sintese e os sociais/economicos nas bases de evidencia.</t>
        </is>
      </c>
      <c r="J24" s="17" t="inlineStr">
        <is>
          <t>none</t>
        </is>
      </c>
      <c r="K24" s="17" t="inlineStr">
        <is>
          <t>0.6</t>
        </is>
      </c>
      <c r="L24" s="17" t="inlineStr">
        <is>
          <t>gap</t>
        </is>
      </c>
    </row>
    <row r="25">
      <c r="A25" s="17" t="inlineStr">
        <is>
          <t>EV-38c24075df</t>
        </is>
      </c>
      <c r="B25" s="17" t="inlineStr">
        <is>
          <t>strategic_analysis</t>
        </is>
      </c>
      <c r="C25" s="17" t="inlineStr">
        <is>
          <t>r1</t>
        </is>
      </c>
      <c r="D25" s="18" t="inlineStr">
        <is>
          <t>Nao ha analise PESTEL formal por unidade no acervo; os fatores existem dispersos em fontes de evidencia e decisao.</t>
        </is>
      </c>
      <c r="E25" s="17" t="inlineStr">
        <is>
          <t>SA-01</t>
        </is>
      </c>
      <c r="F25" s="17" t="inlineStr">
        <is>
          <t>environmental</t>
        </is>
      </c>
      <c r="G25" s="17" t="inlineStr">
        <is>
          <t>ECO-01</t>
        </is>
      </c>
      <c r="H25" s="17" t="inlineStr">
        <is>
          <t>DOC-C02-032</t>
        </is>
      </c>
      <c r="I25" s="18" t="inlineStr">
        <is>
          <t>Nenhum documento lido apresenta secao PESTEL; os fatores regulatorios estao no dashboard de sintese e os sociais/economicos nas bases de evidencia.</t>
        </is>
      </c>
      <c r="J25" s="17" t="inlineStr">
        <is>
          <t>none</t>
        </is>
      </c>
      <c r="K25" s="17" t="inlineStr">
        <is>
          <t>0.6</t>
        </is>
      </c>
      <c r="L25" s="17" t="inlineStr">
        <is>
          <t>gap</t>
        </is>
      </c>
    </row>
    <row r="26">
      <c r="A26" s="17" t="inlineStr">
        <is>
          <t>EV-4c1c55f994</t>
        </is>
      </c>
      <c r="B26" s="17" t="inlineStr">
        <is>
          <t>strategic_analysis</t>
        </is>
      </c>
      <c r="C26" s="17" t="inlineStr">
        <is>
          <t>r1</t>
        </is>
      </c>
      <c r="D26" s="18" t="inlineStr">
        <is>
          <t>Os concorrentes diretos citados sao ferramentas horizontais de produtividade com limitacoes documentadas para o publico-alvo.</t>
        </is>
      </c>
      <c r="E26" s="17" t="inlineStr">
        <is>
          <t>SA-02</t>
        </is>
      </c>
      <c r="F26" s="17" t="inlineStr">
        <is>
          <t>rivalry</t>
        </is>
      </c>
      <c r="G26" s="17" t="inlineStr">
        <is>
          <t>ECO-01</t>
        </is>
      </c>
      <c r="H26" s="17" t="inlineStr">
        <is>
          <t>DOC-C07-007</t>
        </is>
      </c>
      <c r="I26" s="18" t="inlineStr">
        <is>
          <t>QL-000053: 'Trello... necessitando de plug-ins adicionais para rastrear progresso'; QL-000054: 'Todoist... limitado para iniciar tarefas e sem recursos de regulacao emocional'; QT-000172: '30,0% dos usuarios com TDAH consideram o Notion dificil de configurar/usar'.</t>
        </is>
      </c>
      <c r="J26" s="17" t="inlineStr">
        <is>
          <t>moderate</t>
        </is>
      </c>
      <c r="K26" s="17" t="inlineStr">
        <is>
          <t>0.7</t>
        </is>
      </c>
      <c r="L26" s="17" t="inlineStr">
        <is>
          <t>fact</t>
        </is>
      </c>
    </row>
    <row r="27">
      <c r="A27" s="17" t="inlineStr">
        <is>
          <t>EV-a7dc14799c</t>
        </is>
      </c>
      <c r="B27" s="17" t="inlineStr">
        <is>
          <t>strategic_analysis</t>
        </is>
      </c>
      <c r="C27" s="17" t="inlineStr">
        <is>
          <t>r1</t>
        </is>
      </c>
      <c r="D27" s="18" t="inlineStr">
        <is>
          <t>Os concorrentes diretos citados sao ferramentas horizontais de produtividade com limitacoes documentadas para o publico-alvo.</t>
        </is>
      </c>
      <c r="E27" s="17" t="inlineStr">
        <is>
          <t>SA-02</t>
        </is>
      </c>
      <c r="F27" s="17" t="inlineStr">
        <is>
          <t>rivalry</t>
        </is>
      </c>
      <c r="G27" s="17" t="inlineStr">
        <is>
          <t>ECO-01</t>
        </is>
      </c>
      <c r="H27" s="17" t="inlineStr">
        <is>
          <t>DOC-C07-009</t>
        </is>
      </c>
      <c r="I27" s="18" t="inlineStr">
        <is>
          <t>QL-000053: 'Trello... necessitando de plug-ins adicionais para rastrear progresso'; QL-000054: 'Todoist... limitado para iniciar tarefas e sem recursos de regulacao emocional'; QT-000172: '30,0% dos usuarios com TDAH consideram o Notion dificil de configurar/usar'.</t>
        </is>
      </c>
      <c r="J27" s="17" t="inlineStr">
        <is>
          <t>moderate</t>
        </is>
      </c>
      <c r="K27" s="17" t="inlineStr">
        <is>
          <t>0.7</t>
        </is>
      </c>
      <c r="L27" s="17" t="inlineStr">
        <is>
          <t>fact</t>
        </is>
      </c>
    </row>
    <row r="28">
      <c r="A28" s="17" t="inlineStr">
        <is>
          <t>EV-c792ffec35</t>
        </is>
      </c>
      <c r="B28" s="17" t="inlineStr">
        <is>
          <t>strategic_analysis</t>
        </is>
      </c>
      <c r="C28" s="17" t="inlineStr">
        <is>
          <t>r1</t>
        </is>
      </c>
      <c r="D28" s="18" t="inlineStr">
        <is>
          <t>Existem concorrentes com evidencia clinica ou aprovacao regulatoria que o EXECUTAR nao pode igualar hoje.</t>
        </is>
      </c>
      <c r="E28" s="17" t="inlineStr">
        <is>
          <t>SA-02</t>
        </is>
      </c>
      <c r="F28" s="17" t="inlineStr">
        <is>
          <t>rivalry</t>
        </is>
      </c>
      <c r="G28" s="17" t="inlineStr">
        <is>
          <t>ECO-01</t>
        </is>
      </c>
      <c r="H28" s="17" t="inlineStr">
        <is>
          <t>DOC-C07-007</t>
        </is>
      </c>
      <c r="I28" s="18" t="inlineStr">
        <is>
          <t>QT-000177: 'Eficacia de app baseado em TCC (estudo aberto do app Inflow)'; QT-000178/179: 'videogame terapeutico aprovado por agencia regulatoria... p&lt;0.0001... 72,5% melhoria na qualidade de vida (STARS-ADHD-Adult)'.</t>
        </is>
      </c>
      <c r="J28" s="17" t="inlineStr">
        <is>
          <t>moderate</t>
        </is>
      </c>
      <c r="K28" s="17" t="inlineStr">
        <is>
          <t>0.75</t>
        </is>
      </c>
      <c r="L28" s="17" t="inlineStr">
        <is>
          <t>fact</t>
        </is>
      </c>
    </row>
    <row r="29">
      <c r="A29" s="17" t="inlineStr">
        <is>
          <t>EV-72c143ec66</t>
        </is>
      </c>
      <c r="B29" s="17" t="inlineStr">
        <is>
          <t>strategic_analysis</t>
        </is>
      </c>
      <c r="C29" s="17" t="inlineStr">
        <is>
          <t>r1</t>
        </is>
      </c>
      <c r="D29" s="18" t="inlineStr">
        <is>
          <t>Existem concorrentes com evidencia clinica ou aprovacao regulatoria que o EXECUTAR nao pode igualar hoje.</t>
        </is>
      </c>
      <c r="E29" s="17" t="inlineStr">
        <is>
          <t>SA-02</t>
        </is>
      </c>
      <c r="F29" s="17" t="inlineStr">
        <is>
          <t>rivalry</t>
        </is>
      </c>
      <c r="G29" s="17" t="inlineStr">
        <is>
          <t>ECO-01</t>
        </is>
      </c>
      <c r="H29" s="17" t="inlineStr">
        <is>
          <t>DOC-C07-009</t>
        </is>
      </c>
      <c r="I29" s="18" t="inlineStr">
        <is>
          <t>QT-000177: 'Eficacia de app baseado em TCC (estudo aberto do app Inflow)'; QT-000178/179: 'videogame terapeutico aprovado por agencia regulatoria... p&lt;0.0001... 72,5% melhoria na qualidade de vida (STARS-ADHD-Adult)'.</t>
        </is>
      </c>
      <c r="J29" s="17" t="inlineStr">
        <is>
          <t>moderate</t>
        </is>
      </c>
      <c r="K29" s="17" t="inlineStr">
        <is>
          <t>0.75</t>
        </is>
      </c>
      <c r="L29" s="17" t="inlineStr">
        <is>
          <t>fact</t>
        </is>
      </c>
    </row>
    <row r="30">
      <c r="A30" s="17" t="inlineStr">
        <is>
          <t>EV-979463fb2a</t>
        </is>
      </c>
      <c r="B30" s="17" t="inlineStr">
        <is>
          <t>strategic_analysis</t>
        </is>
      </c>
      <c r="C30" s="17" t="inlineStr">
        <is>
          <t>r1</t>
        </is>
      </c>
      <c r="D30" s="18" t="inlineStr">
        <is>
          <t>A operacao depende de fornecedores externos criticos cuja falha bloqueia o lancamento.</t>
        </is>
      </c>
      <c r="E30" s="17" t="inlineStr">
        <is>
          <t>SA-02</t>
        </is>
      </c>
      <c r="F30" s="17" t="inlineStr">
        <is>
          <t>supplier_power</t>
        </is>
      </c>
      <c r="G30" s="17" t="inlineStr">
        <is>
          <t>ECO-01</t>
        </is>
      </c>
      <c r="H30" s="17" t="inlineStr">
        <is>
          <t>DOC-C06-001</t>
        </is>
      </c>
      <c r="I30" s="18" t="inlineStr">
        <is>
          <t>DOC-C06-001 lista dependencias externas Amazon e Hotmart iniciadas em D1 e reserva de 12h para 'problema de CMS/Hotmart, formulario, link'; DOC-C02-017 fixa Vercel + Payload + PostgreSQL/Neon + Vercel Blob.</t>
        </is>
      </c>
      <c r="J30" s="17" t="inlineStr">
        <is>
          <t>moderate</t>
        </is>
      </c>
      <c r="K30" s="17" t="inlineStr">
        <is>
          <t>0.65</t>
        </is>
      </c>
      <c r="L30" s="17" t="inlineStr">
        <is>
          <t>inference</t>
        </is>
      </c>
    </row>
    <row r="31">
      <c r="A31" s="17" t="inlineStr">
        <is>
          <t>EV-ebf7dd1990</t>
        </is>
      </c>
      <c r="B31" s="17" t="inlineStr">
        <is>
          <t>strategic_analysis</t>
        </is>
      </c>
      <c r="C31" s="17" t="inlineStr">
        <is>
          <t>r1</t>
        </is>
      </c>
      <c r="D31" s="18" t="inlineStr">
        <is>
          <t>A operacao depende de fornecedores externos criticos cuja falha bloqueia o lancamento.</t>
        </is>
      </c>
      <c r="E31" s="17" t="inlineStr">
        <is>
          <t>SA-02</t>
        </is>
      </c>
      <c r="F31" s="17" t="inlineStr">
        <is>
          <t>supplier_power</t>
        </is>
      </c>
      <c r="G31" s="17" t="inlineStr">
        <is>
          <t>ECO-01</t>
        </is>
      </c>
      <c r="H31" s="17" t="inlineStr">
        <is>
          <t>DOC-C02-017</t>
        </is>
      </c>
      <c r="I31" s="18" t="inlineStr">
        <is>
          <t>DOC-C06-001 lista dependencias externas Amazon e Hotmart iniciadas em D1 e reserva de 12h para 'problema de CMS/Hotmart, formulario, link'; DOC-C02-017 fixa Vercel + Payload + PostgreSQL/Neon + Vercel Blob.</t>
        </is>
      </c>
      <c r="J31" s="17" t="inlineStr">
        <is>
          <t>moderate</t>
        </is>
      </c>
      <c r="K31" s="17" t="inlineStr">
        <is>
          <t>0.65</t>
        </is>
      </c>
      <c r="L31" s="17" t="inlineStr">
        <is>
          <t>inference</t>
        </is>
      </c>
    </row>
    <row r="32">
      <c r="A32" s="17" t="inlineStr">
        <is>
          <t>EV-3592d812ea</t>
        </is>
      </c>
      <c r="B32" s="17" t="inlineStr">
        <is>
          <t>strategic_analysis</t>
        </is>
      </c>
      <c r="C32" s="17" t="inlineStr">
        <is>
          <t>r1</t>
        </is>
      </c>
      <c r="D32" s="18" t="inlineStr">
        <is>
          <t>O ICP escolhido controla ou influencia a propria compra, o que elimina ciclo de aprovacao mas expoe a decisao a preco.</t>
        </is>
      </c>
      <c r="E32" s="17" t="inlineStr">
        <is>
          <t>SA-02</t>
        </is>
      </c>
      <c r="F32" s="17" t="inlineStr">
        <is>
          <t>buyer_power</t>
        </is>
      </c>
      <c r="G32" s="17" t="inlineStr">
        <is>
          <t>ECO-01</t>
        </is>
      </c>
      <c r="H32" s="17" t="inlineStr">
        <is>
          <t>DOC-C07-009</t>
        </is>
      </c>
      <c r="I32" s="18" t="inlineStr">
        <is>
          <t>ICP comercial no dashboard: 'Profissional independente/solo brasileiro... e controla/influencia a propria compra'; faixa de teste R$29,90/49,90/79,90 com 'preco canonico ainda nao existe'.</t>
        </is>
      </c>
      <c r="J32" s="17" t="inlineStr">
        <is>
          <t>strong</t>
        </is>
      </c>
      <c r="K32" s="17" t="inlineStr">
        <is>
          <t>0.8</t>
        </is>
      </c>
      <c r="L32" s="17" t="inlineStr">
        <is>
          <t>fact</t>
        </is>
      </c>
    </row>
    <row r="33">
      <c r="A33" s="17" t="inlineStr">
        <is>
          <t>EV-250516ec85</t>
        </is>
      </c>
      <c r="B33" s="17" t="inlineStr">
        <is>
          <t>strategic_analysis</t>
        </is>
      </c>
      <c r="C33" s="17" t="inlineStr">
        <is>
          <t>r1</t>
        </is>
      </c>
      <c r="D33" s="18" t="inlineStr">
        <is>
          <t>O substituto mais provavel e o sistema analogico ou improvisado que o proprio usuario ja mantem.</t>
        </is>
      </c>
      <c r="E33" s="17" t="inlineStr">
        <is>
          <t>SA-02</t>
        </is>
      </c>
      <c r="F33" s="17" t="inlineStr">
        <is>
          <t>substitutes</t>
        </is>
      </c>
      <c r="G33" s="17" t="inlineStr">
        <is>
          <t>ECO-01</t>
        </is>
      </c>
      <c r="H33" s="17" t="inlineStr">
        <is>
          <t>DOC-C05-001</t>
        </is>
      </c>
      <c r="I33" s="18" t="inlineStr">
        <is>
          <t>DOC-C05-001 descreve a categoria como sistema 'com uso digital minimo e integracao analogica' e DOC-C11-008 mostra 'o mesmo projeto no digital e no material fisico'; QL-0022 registra necessidade de 'externalizacao de funcoes executivas'.</t>
        </is>
      </c>
      <c r="J33" s="17" t="inlineStr">
        <is>
          <t>moderate</t>
        </is>
      </c>
      <c r="K33" s="17" t="inlineStr">
        <is>
          <t>0.6</t>
        </is>
      </c>
      <c r="L33" s="17" t="inlineStr">
        <is>
          <t>inference</t>
        </is>
      </c>
    </row>
    <row r="34">
      <c r="A34" s="17" t="inlineStr">
        <is>
          <t>EV-fd84818fcf</t>
        </is>
      </c>
      <c r="B34" s="17" t="inlineStr">
        <is>
          <t>strategic_analysis</t>
        </is>
      </c>
      <c r="C34" s="17" t="inlineStr">
        <is>
          <t>r1</t>
        </is>
      </c>
      <c r="D34" s="18" t="inlineStr">
        <is>
          <t>O substituto mais provavel e o sistema analogico ou improvisado que o proprio usuario ja mantem.</t>
        </is>
      </c>
      <c r="E34" s="17" t="inlineStr">
        <is>
          <t>SA-02</t>
        </is>
      </c>
      <c r="F34" s="17" t="inlineStr">
        <is>
          <t>substitutes</t>
        </is>
      </c>
      <c r="G34" s="17" t="inlineStr">
        <is>
          <t>ECO-01</t>
        </is>
      </c>
      <c r="H34" s="17" t="inlineStr">
        <is>
          <t>DOC-C11-008</t>
        </is>
      </c>
      <c r="I34" s="18" t="inlineStr">
        <is>
          <t>DOC-C05-001 descreve a categoria como sistema 'com uso digital minimo e integracao analogica' e DOC-C11-008 mostra 'o mesmo projeto no digital e no material fisico'; QL-0022 registra necessidade de 'externalizacao de funcoes executivas'.</t>
        </is>
      </c>
      <c r="J34" s="17" t="inlineStr">
        <is>
          <t>moderate</t>
        </is>
      </c>
      <c r="K34" s="17" t="inlineStr">
        <is>
          <t>0.6</t>
        </is>
      </c>
      <c r="L34" s="17" t="inlineStr">
        <is>
          <t>inference</t>
        </is>
      </c>
    </row>
    <row r="35">
      <c r="A35" s="17" t="inlineStr">
        <is>
          <t>EV-e780a534e8</t>
        </is>
      </c>
      <c r="B35" s="17" t="inlineStr">
        <is>
          <t>strategic_analysis</t>
        </is>
      </c>
      <c r="C35" s="17" t="inlineStr">
        <is>
          <t>r1</t>
        </is>
      </c>
      <c r="D35" s="18" t="inlineStr">
        <is>
          <t>O substituto mais provavel e o sistema analogico ou improvisado que o proprio usuario ja mantem.</t>
        </is>
      </c>
      <c r="E35" s="17" t="inlineStr">
        <is>
          <t>SA-02</t>
        </is>
      </c>
      <c r="F35" s="17" t="inlineStr">
        <is>
          <t>substitutes</t>
        </is>
      </c>
      <c r="G35" s="17" t="inlineStr">
        <is>
          <t>ECO-01</t>
        </is>
      </c>
      <c r="H35" s="17" t="inlineStr">
        <is>
          <t>DOC-C07-007</t>
        </is>
      </c>
      <c r="I35" s="18" t="inlineStr">
        <is>
          <t>DOC-C05-001 descreve a categoria como sistema 'com uso digital minimo e integracao analogica' e DOC-C11-008 mostra 'o mesmo projeto no digital e no material fisico'; QL-0022 registra necessidade de 'externalizacao de funcoes executivas'.</t>
        </is>
      </c>
      <c r="J35" s="17" t="inlineStr">
        <is>
          <t>moderate</t>
        </is>
      </c>
      <c r="K35" s="17" t="inlineStr">
        <is>
          <t>0.6</t>
        </is>
      </c>
      <c r="L35" s="17" t="inlineStr">
        <is>
          <t>inference</t>
        </is>
      </c>
    </row>
    <row r="36">
      <c r="A36" s="17" t="inlineStr">
        <is>
          <t>EV-d99554820c</t>
        </is>
      </c>
      <c r="B36" s="17" t="inlineStr">
        <is>
          <t>strategic_analysis</t>
        </is>
      </c>
      <c r="C36" s="17" t="inlineStr">
        <is>
          <t>r1</t>
        </is>
      </c>
      <c r="D36" s="18" t="inlineStr">
        <is>
          <t>O setor de conteudo sobre TDAH e descrito como segmentado em quatro categorias competitivas.</t>
        </is>
      </c>
      <c r="E36" s="17" t="inlineStr">
        <is>
          <t>SA-02</t>
        </is>
      </c>
      <c r="F36" s="17" t="inlineStr">
        <is>
          <t>rivalry</t>
        </is>
      </c>
      <c r="G36" s="17" t="inlineStr">
        <is>
          <t>ECO-02</t>
        </is>
      </c>
      <c r="H36" s="17" t="inlineStr">
        <is>
          <t>DOC-C07-007</t>
        </is>
      </c>
      <c r="I36" s="18" t="inlineStr">
        <is>
          <t>QL-0017: 'O setor e segmentado em midia/autoridade medica, infoprodutores, comercio eletronico de nicho e instituicoes/clinicas.'</t>
        </is>
      </c>
      <c r="J36" s="17" t="inlineStr">
        <is>
          <t>moderate</t>
        </is>
      </c>
      <c r="K36" s="17" t="inlineStr">
        <is>
          <t>0.7</t>
        </is>
      </c>
      <c r="L36" s="17" t="inlineStr">
        <is>
          <t>fact</t>
        </is>
      </c>
    </row>
    <row r="37">
      <c r="A37" s="17" t="inlineStr">
        <is>
          <t>EV-67a3af8ecf</t>
        </is>
      </c>
      <c r="B37" s="17" t="inlineStr">
        <is>
          <t>strategic_analysis</t>
        </is>
      </c>
      <c r="C37" s="17" t="inlineStr">
        <is>
          <t>r1</t>
        </is>
      </c>
      <c r="D37" s="18" t="inlineStr">
        <is>
          <t>O setor de conteudo sobre TDAH e descrito como segmentado em quatro categorias competitivas.</t>
        </is>
      </c>
      <c r="E37" s="17" t="inlineStr">
        <is>
          <t>SA-02</t>
        </is>
      </c>
      <c r="F37" s="17" t="inlineStr">
        <is>
          <t>rivalry</t>
        </is>
      </c>
      <c r="G37" s="17" t="inlineStr">
        <is>
          <t>ECO-02</t>
        </is>
      </c>
      <c r="H37" s="17" t="inlineStr">
        <is>
          <t>DOC-C07-009</t>
        </is>
      </c>
      <c r="I37" s="18" t="inlineStr">
        <is>
          <t>QL-0017: 'O setor e segmentado em midia/autoridade medica, infoprodutores, comercio eletronico de nicho e instituicoes/clinicas.'</t>
        </is>
      </c>
      <c r="J37" s="17" t="inlineStr">
        <is>
          <t>moderate</t>
        </is>
      </c>
      <c r="K37" s="17" t="inlineStr">
        <is>
          <t>0.7</t>
        </is>
      </c>
      <c r="L37" s="17" t="inlineStr">
        <is>
          <t>fact</t>
        </is>
      </c>
    </row>
    <row r="38">
      <c r="A38" s="17" t="inlineStr">
        <is>
          <t>EV-f2e17c4f17</t>
        </is>
      </c>
      <c r="B38" s="17" t="inlineStr">
        <is>
          <t>strategic_analysis</t>
        </is>
      </c>
      <c r="C38" s="17" t="inlineStr">
        <is>
          <t>r1</t>
        </is>
      </c>
      <c r="D38" s="18" t="inlineStr">
        <is>
          <t>O framework compete com corpos metodologicos ja consolidados, e a fonte reconhece isso.</t>
        </is>
      </c>
      <c r="E38" s="17" t="inlineStr">
        <is>
          <t>SA-02</t>
        </is>
      </c>
      <c r="F38" s="17" t="inlineStr">
        <is>
          <t>rivalry</t>
        </is>
      </c>
      <c r="G38" s="17" t="inlineStr">
        <is>
          <t>ECO-03</t>
        </is>
      </c>
      <c r="H38" s="17" t="inlineStr">
        <is>
          <t>DOC-C02-030</t>
        </is>
      </c>
      <c r="I38" s="18" t="inlineStr">
        <is>
          <t>RC-TERM-007/008 classificam 'Cognitive Risk' e 'Managing Cognitive Risk' como ANTERIORIDADE; RC-012: 'PMI estrutura multiplos dominios'; RC-TERM-011/012/013 marcam ergonomia cognitiva, fatores humanos e neuroergonomia como adjacentes fortes.</t>
        </is>
      </c>
      <c r="J38" s="17" t="inlineStr">
        <is>
          <t>strong</t>
        </is>
      </c>
      <c r="K38" s="17" t="inlineStr">
        <is>
          <t>0.85</t>
        </is>
      </c>
      <c r="L38" s="17" t="inlineStr">
        <is>
          <t>fact</t>
        </is>
      </c>
    </row>
    <row r="39">
      <c r="A39" s="17" t="inlineStr">
        <is>
          <t>EV-43055a96a9</t>
        </is>
      </c>
      <c r="B39" s="17" t="inlineStr">
        <is>
          <t>strategic_analysis</t>
        </is>
      </c>
      <c r="C39" s="17" t="inlineStr">
        <is>
          <t>r1</t>
        </is>
      </c>
      <c r="D39" s="18" t="inlineStr">
        <is>
          <t>O framework compete com corpos metodologicos ja consolidados, e a fonte reconhece isso.</t>
        </is>
      </c>
      <c r="E39" s="17" t="inlineStr">
        <is>
          <t>SA-02</t>
        </is>
      </c>
      <c r="F39" s="17" t="inlineStr">
        <is>
          <t>rivalry</t>
        </is>
      </c>
      <c r="G39" s="17" t="inlineStr">
        <is>
          <t>ECO-03</t>
        </is>
      </c>
      <c r="H39" s="17" t="inlineStr">
        <is>
          <t>DOC-C02-022</t>
        </is>
      </c>
      <c r="I39" s="18" t="inlineStr">
        <is>
          <t>RC-TERM-007/008 classificam 'Cognitive Risk' e 'Managing Cognitive Risk' como ANTERIORIDADE; RC-012: 'PMI estrutura multiplos dominios'; RC-TERM-011/012/013 marcam ergonomia cognitiva, fatores humanos e neuroergonomia como adjacentes fortes.</t>
        </is>
      </c>
      <c r="J39" s="17" t="inlineStr">
        <is>
          <t>strong</t>
        </is>
      </c>
      <c r="K39" s="17" t="inlineStr">
        <is>
          <t>0.85</t>
        </is>
      </c>
      <c r="L39" s="17" t="inlineStr">
        <is>
          <t>fact</t>
        </is>
      </c>
    </row>
    <row r="40">
      <c r="A40" s="17" t="inlineStr">
        <is>
          <t>EV-749ccd2b35</t>
        </is>
      </c>
      <c r="B40" s="17" t="inlineStr">
        <is>
          <t>strategic_analysis</t>
        </is>
      </c>
      <c r="C40" s="17" t="inlineStr">
        <is>
          <t>r1</t>
        </is>
      </c>
      <c r="D40" s="18" t="inlineStr">
        <is>
          <t>O framework compete com corpos metodologicos ja consolidados, e a fonte reconhece isso.</t>
        </is>
      </c>
      <c r="E40" s="17" t="inlineStr">
        <is>
          <t>SA-02</t>
        </is>
      </c>
      <c r="F40" s="17" t="inlineStr">
        <is>
          <t>rivalry</t>
        </is>
      </c>
      <c r="G40" s="17" t="inlineStr">
        <is>
          <t>ECO-03</t>
        </is>
      </c>
      <c r="H40" s="17" t="inlineStr">
        <is>
          <t>DOC-C02-031</t>
        </is>
      </c>
      <c r="I40" s="18" t="inlineStr">
        <is>
          <t>RC-TERM-007/008 classificam 'Cognitive Risk' e 'Managing Cognitive Risk' como ANTERIORIDADE; RC-012: 'PMI estrutura multiplos dominios'; RC-TERM-011/012/013 marcam ergonomia cognitiva, fatores humanos e neuroergonomia como adjacentes fortes.</t>
        </is>
      </c>
      <c r="J40" s="17" t="inlineStr">
        <is>
          <t>strong</t>
        </is>
      </c>
      <c r="K40" s="17" t="inlineStr">
        <is>
          <t>0.85</t>
        </is>
      </c>
      <c r="L40" s="17" t="inlineStr">
        <is>
          <t>fact</t>
        </is>
      </c>
    </row>
    <row r="41">
      <c r="A41" s="17" t="inlineStr">
        <is>
          <t>EV-88dd0fd57f</t>
        </is>
      </c>
      <c r="B41" s="17" t="inlineStr">
        <is>
          <t>strategic_analysis</t>
        </is>
      </c>
      <c r="C41" s="17" t="inlineStr">
        <is>
          <t>r1</t>
        </is>
      </c>
      <c r="D41" s="18" t="inlineStr">
        <is>
          <t>Nao ha mapeamento de concorrentes para o Estudio no acervo lido.</t>
        </is>
      </c>
      <c r="E41" s="17" t="inlineStr">
        <is>
          <t>SA-02</t>
        </is>
      </c>
      <c r="F41" s="17" t="inlineStr">
        <is>
          <t>rivalry</t>
        </is>
      </c>
      <c r="G41" s="17" t="inlineStr">
        <is>
          <t>ECO-07</t>
        </is>
      </c>
      <c r="H41" s="17" t="inlineStr">
        <is>
          <t>DOC-C09-006</t>
        </is>
      </c>
      <c r="I41" s="18" t="inlineStr">
        <is>
          <t>DOC-C09-006, DOC-C12-006 e DOC-C12-007 definem oferta, pagina e formulario, mas nenhum documento nomeia concorrentes de automacao/consultoria.</t>
        </is>
      </c>
      <c r="J41" s="17" t="inlineStr">
        <is>
          <t>none</t>
        </is>
      </c>
      <c r="K41" s="17" t="inlineStr">
        <is>
          <t>0.7</t>
        </is>
      </c>
      <c r="L41" s="17" t="inlineStr">
        <is>
          <t>gap</t>
        </is>
      </c>
    </row>
    <row r="42">
      <c r="A42" s="17" t="inlineStr">
        <is>
          <t>EV-c66fae360e</t>
        </is>
      </c>
      <c r="B42" s="17" t="inlineStr">
        <is>
          <t>strategic_analysis</t>
        </is>
      </c>
      <c r="C42" s="17" t="inlineStr">
        <is>
          <t>r1</t>
        </is>
      </c>
      <c r="D42" s="18" t="inlineStr">
        <is>
          <t>Nao ha mapeamento de concorrentes para o Estudio no acervo lido.</t>
        </is>
      </c>
      <c r="E42" s="17" t="inlineStr">
        <is>
          <t>SA-02</t>
        </is>
      </c>
      <c r="F42" s="17" t="inlineStr">
        <is>
          <t>rivalry</t>
        </is>
      </c>
      <c r="G42" s="17" t="inlineStr">
        <is>
          <t>ECO-07</t>
        </is>
      </c>
      <c r="H42" s="17" t="inlineStr">
        <is>
          <t>DOC-C12-006</t>
        </is>
      </c>
      <c r="I42" s="18" t="inlineStr">
        <is>
          <t>DOC-C09-006, DOC-C12-006 e DOC-C12-007 definem oferta, pagina e formulario, mas nenhum documento nomeia concorrentes de automacao/consultoria.</t>
        </is>
      </c>
      <c r="J42" s="17" t="inlineStr">
        <is>
          <t>none</t>
        </is>
      </c>
      <c r="K42" s="17" t="inlineStr">
        <is>
          <t>0.7</t>
        </is>
      </c>
      <c r="L42" s="17" t="inlineStr">
        <is>
          <t>gap</t>
        </is>
      </c>
    </row>
    <row r="43">
      <c r="A43" s="17" t="inlineStr">
        <is>
          <t>EV-62175cb4c1</t>
        </is>
      </c>
      <c r="B43" s="17" t="inlineStr">
        <is>
          <t>strategic_analysis</t>
        </is>
      </c>
      <c r="C43" s="17" t="inlineStr">
        <is>
          <t>r1</t>
        </is>
      </c>
      <c r="D43" s="18" t="inlineStr">
        <is>
          <t>Nao ha mapeamento de concorrentes para o Estudio no acervo lido.</t>
        </is>
      </c>
      <c r="E43" s="17" t="inlineStr">
        <is>
          <t>SA-02</t>
        </is>
      </c>
      <c r="F43" s="17" t="inlineStr">
        <is>
          <t>rivalry</t>
        </is>
      </c>
      <c r="G43" s="17" t="inlineStr">
        <is>
          <t>ECO-07</t>
        </is>
      </c>
      <c r="H43" s="17" t="inlineStr">
        <is>
          <t>DOC-C12-007</t>
        </is>
      </c>
      <c r="I43" s="18" t="inlineStr">
        <is>
          <t>DOC-C09-006, DOC-C12-006 e DOC-C12-007 definem oferta, pagina e formulario, mas nenhum documento nomeia concorrentes de automacao/consultoria.</t>
        </is>
      </c>
      <c r="J43" s="17" t="inlineStr">
        <is>
          <t>none</t>
        </is>
      </c>
      <c r="K43" s="17" t="inlineStr">
        <is>
          <t>0.7</t>
        </is>
      </c>
      <c r="L43" s="17" t="inlineStr">
        <is>
          <t>gap</t>
        </is>
      </c>
    </row>
    <row r="44">
      <c r="A44" s="17" t="inlineStr">
        <is>
          <t>EV-da0f0726d3</t>
        </is>
      </c>
      <c r="B44" s="17" t="inlineStr">
        <is>
          <t>strategic_analysis</t>
        </is>
      </c>
      <c r="C44" s="17" t="inlineStr">
        <is>
          <t>r1</t>
        </is>
      </c>
      <c r="D44" s="18" t="inlineStr">
        <is>
          <t>A categoria declarada do produto e sistema de gestao de processos, projetos, tarefas e workflows orientado a execucao.</t>
        </is>
      </c>
      <c r="E44" s="17" t="inlineStr">
        <is>
          <t>SA-03A</t>
        </is>
      </c>
      <c r="F44" s="17" t="inlineStr">
        <is>
          <t>category_definition</t>
        </is>
      </c>
      <c r="G44" s="17" t="inlineStr">
        <is>
          <t>ECO-01</t>
        </is>
      </c>
      <c r="H44" s="17" t="inlineStr">
        <is>
          <t>DOC-C05-001</t>
        </is>
      </c>
      <c r="I44" s="18" t="inlineStr">
        <is>
          <t>DOC-C05-001, item 03 do index: 'Sistema de gestao de processos, projetos, tarefas e workflows, orientado a execucao, adaptado as vulnerabilidades do usuario, com uso digital minimo e integracao analogica'.</t>
        </is>
      </c>
      <c r="J44" s="17" t="inlineStr">
        <is>
          <t>strong</t>
        </is>
      </c>
      <c r="K44" s="17" t="inlineStr">
        <is>
          <t>0.9</t>
        </is>
      </c>
      <c r="L44" s="17" t="inlineStr">
        <is>
          <t>fact</t>
        </is>
      </c>
    </row>
    <row r="45">
      <c r="A45" s="17" t="inlineStr">
        <is>
          <t>EV-976e759c3b</t>
        </is>
      </c>
      <c r="B45" s="17" t="inlineStr">
        <is>
          <t>strategic_analysis</t>
        </is>
      </c>
      <c r="C45" s="17" t="inlineStr">
        <is>
          <t>r1</t>
        </is>
      </c>
      <c r="D45" s="18" t="inlineStr">
        <is>
          <t>A tese explora a fronteira entre tres mercados de conteudo hoje separados.</t>
        </is>
      </c>
      <c r="E45" s="17" t="inlineStr">
        <is>
          <t>SA-03A</t>
        </is>
      </c>
      <c r="F45" s="17" t="inlineStr">
        <is>
          <t>market_boundaries</t>
        </is>
      </c>
      <c r="G45" s="17" t="inlineStr">
        <is>
          <t>ECO-03</t>
        </is>
      </c>
      <c r="H45" s="17" t="inlineStr">
        <is>
          <t>DOC-C01-005</t>
        </is>
      </c>
      <c r="I45" s="18" t="inlineStr">
        <is>
          <t>DOC-C01-005: 'Ha tres mercados de conteudo que normalmente ficam separados... neurodivergencia... produtividade pessoal... gestao de riscos'; a proposta e 'colocar uma ponte no meio'.</t>
        </is>
      </c>
      <c r="J45" s="17" t="inlineStr">
        <is>
          <t>strong</t>
        </is>
      </c>
      <c r="K45" s="17" t="inlineStr">
        <is>
          <t>0.85</t>
        </is>
      </c>
      <c r="L45" s="17" t="inlineStr">
        <is>
          <t>fact</t>
        </is>
      </c>
    </row>
    <row r="46">
      <c r="A46" s="17" t="inlineStr">
        <is>
          <t>EV-9b7ecf34fe</t>
        </is>
      </c>
      <c r="B46" s="17" t="inlineStr">
        <is>
          <t>strategic_analysis</t>
        </is>
      </c>
      <c r="C46" s="17" t="inlineStr">
        <is>
          <t>r1</t>
        </is>
      </c>
      <c r="D46" s="18" t="inlineStr">
        <is>
          <t>A tese explora a fronteira entre tres mercados de conteudo hoje separados.</t>
        </is>
      </c>
      <c r="E46" s="17" t="inlineStr">
        <is>
          <t>SA-03A</t>
        </is>
      </c>
      <c r="F46" s="17" t="inlineStr">
        <is>
          <t>market_boundaries</t>
        </is>
      </c>
      <c r="G46" s="17" t="inlineStr">
        <is>
          <t>ECO-03</t>
        </is>
      </c>
      <c r="H46" s="17" t="inlineStr">
        <is>
          <t>DOC-C03-002</t>
        </is>
      </c>
      <c r="I46" s="18" t="inlineStr">
        <is>
          <t>DOC-C01-005: 'Ha tres mercados de conteudo que normalmente ficam separados... neurodivergencia... produtividade pessoal... gestao de riscos'; a proposta e 'colocar uma ponte no meio'.</t>
        </is>
      </c>
      <c r="J46" s="17" t="inlineStr">
        <is>
          <t>strong</t>
        </is>
      </c>
      <c r="K46" s="17" t="inlineStr">
        <is>
          <t>0.85</t>
        </is>
      </c>
      <c r="L46" s="17" t="inlineStr">
        <is>
          <t>fact</t>
        </is>
      </c>
    </row>
    <row r="47">
      <c r="A47" s="17" t="inlineStr">
        <is>
          <t>EV-974ffd01d2</t>
        </is>
      </c>
      <c r="B47" s="17" t="inlineStr">
        <is>
          <t>strategic_analysis</t>
        </is>
      </c>
      <c r="C47" s="17" t="inlineStr">
        <is>
          <t>r1</t>
        </is>
      </c>
      <c r="D47" s="18" t="inlineStr">
        <is>
          <t>O material interno registra crescimento de 576% em buscas por TDAH em 5 anos e CAGR de 25-30% (2022-2025) caindo para 10-12% (2025-2030).</t>
        </is>
      </c>
      <c r="E47" s="17" t="inlineStr">
        <is>
          <t>SA-03A</t>
        </is>
      </c>
      <c r="F47" s="17" t="inlineStr">
        <is>
          <t>growth</t>
        </is>
      </c>
      <c r="G47" s="17" t="inlineStr">
        <is>
          <t>ECO-02</t>
        </is>
      </c>
      <c r="H47" s="17" t="inlineStr">
        <is>
          <t>DOC-C07-007</t>
        </is>
      </c>
      <c r="I47" s="18" t="inlineStr">
        <is>
          <t>QT-0137 '576,0% / 5 anos'; QT-0138 '25,0-30,0% ao ano / 2022-2025'; QT-0139 '10,0-12,0% ao ano / 2025-2030'. Todos com 'base amostral: Nao informada na imagem' e 'Requer validacao na referencia original'.</t>
        </is>
      </c>
      <c r="J47" s="17" t="inlineStr">
        <is>
          <t>weak</t>
        </is>
      </c>
      <c r="K47" s="17" t="inlineStr">
        <is>
          <t>0.45</t>
        </is>
      </c>
      <c r="L47" s="17" t="inlineStr">
        <is>
          <t>fact</t>
        </is>
      </c>
    </row>
    <row r="48">
      <c r="A48" s="17" t="inlineStr">
        <is>
          <t>EV-e1db2e9480</t>
        </is>
      </c>
      <c r="B48" s="17" t="inlineStr">
        <is>
          <t>strategic_analysis</t>
        </is>
      </c>
      <c r="C48" s="17" t="inlineStr">
        <is>
          <t>r1</t>
        </is>
      </c>
      <c r="D48" s="18" t="inlineStr">
        <is>
          <t>O material interno registra crescimento de 576% em buscas por TDAH em 5 anos e CAGR de 25-30% (2022-2025) caindo para 10-12% (2025-2030).</t>
        </is>
      </c>
      <c r="E48" s="17" t="inlineStr">
        <is>
          <t>SA-03A</t>
        </is>
      </c>
      <c r="F48" s="17" t="inlineStr">
        <is>
          <t>growth</t>
        </is>
      </c>
      <c r="G48" s="17" t="inlineStr">
        <is>
          <t>ECO-02</t>
        </is>
      </c>
      <c r="H48" s="17" t="inlineStr">
        <is>
          <t>DOC-C07-009</t>
        </is>
      </c>
      <c r="I48" s="18" t="inlineStr">
        <is>
          <t>QT-0137 '576,0% / 5 anos'; QT-0138 '25,0-30,0% ao ano / 2022-2025'; QT-0139 '10,0-12,0% ao ano / 2025-2030'. Todos com 'base amostral: Nao informada na imagem' e 'Requer validacao na referencia original'.</t>
        </is>
      </c>
      <c r="J48" s="17" t="inlineStr">
        <is>
          <t>weak</t>
        </is>
      </c>
      <c r="K48" s="17" t="inlineStr">
        <is>
          <t>0.45</t>
        </is>
      </c>
      <c r="L48" s="17" t="inlineStr">
        <is>
          <t>fact</t>
        </is>
      </c>
    </row>
    <row r="49">
      <c r="A49" s="17" t="inlineStr">
        <is>
          <t>EV-0a0039d60e</t>
        </is>
      </c>
      <c r="B49" s="17" t="inlineStr">
        <is>
          <t>strategic_analysis</t>
        </is>
      </c>
      <c r="C49" s="17" t="inlineStr">
        <is>
          <t>r1</t>
        </is>
      </c>
      <c r="D49" s="18" t="inlineStr">
        <is>
          <t>O material interno afirma TAM estimado de R$ 5,07 bilhoes (Brasil), sem metodologia recuperavel.</t>
        </is>
      </c>
      <c r="E49" s="17" t="inlineStr">
        <is>
          <t>SA-03B</t>
        </is>
      </c>
      <c r="F49" s="17" t="inlineStr">
        <is>
          <t>tam</t>
        </is>
      </c>
      <c r="G49" s="17" t="inlineStr">
        <is>
          <t>ECO-01</t>
        </is>
      </c>
      <c r="H49" s="17" t="inlineStr">
        <is>
          <t>DOC-C07-007</t>
        </is>
      </c>
      <c r="I49" s="18" t="inlineStr">
        <is>
          <t>QT-0131: 'TAM estimado 5070000000.0 R$', geografia Brasil, fonte 'Documento Final Unificado: Sintese Estrategica de Neuroexecucao Aplicada', arquivo IMG_0537.HEIC, 'base amostral: Nao informada na imagem', 'Requer validacao na referencia original'.</t>
        </is>
      </c>
      <c r="J49" s="17" t="inlineStr">
        <is>
          <t>weak</t>
        </is>
      </c>
      <c r="K49" s="17" t="inlineStr">
        <is>
          <t>0.35</t>
        </is>
      </c>
      <c r="L49" s="17" t="inlineStr">
        <is>
          <t>fact</t>
        </is>
      </c>
    </row>
    <row r="50">
      <c r="A50" s="17" t="inlineStr">
        <is>
          <t>EV-578a51b04f</t>
        </is>
      </c>
      <c r="B50" s="17" t="inlineStr">
        <is>
          <t>strategic_analysis</t>
        </is>
      </c>
      <c r="C50" s="17" t="inlineStr">
        <is>
          <t>r1</t>
        </is>
      </c>
      <c r="D50" s="18" t="inlineStr">
        <is>
          <t>O material interno afirma TAM estimado de R$ 5,07 bilhoes (Brasil), sem metodologia recuperavel.</t>
        </is>
      </c>
      <c r="E50" s="17" t="inlineStr">
        <is>
          <t>SA-03B</t>
        </is>
      </c>
      <c r="F50" s="17" t="inlineStr">
        <is>
          <t>tam</t>
        </is>
      </c>
      <c r="G50" s="17" t="inlineStr">
        <is>
          <t>ECO-01</t>
        </is>
      </c>
      <c r="H50" s="17" t="inlineStr">
        <is>
          <t>DOC-C07-009</t>
        </is>
      </c>
      <c r="I50" s="18" t="inlineStr">
        <is>
          <t>QT-0131: 'TAM estimado 5070000000.0 R$', geografia Brasil, fonte 'Documento Final Unificado: Sintese Estrategica de Neuroexecucao Aplicada', arquivo IMG_0537.HEIC, 'base amostral: Nao informada na imagem', 'Requer validacao na referencia original'.</t>
        </is>
      </c>
      <c r="J50" s="17" t="inlineStr">
        <is>
          <t>weak</t>
        </is>
      </c>
      <c r="K50" s="17" t="inlineStr">
        <is>
          <t>0.35</t>
        </is>
      </c>
      <c r="L50" s="17" t="inlineStr">
        <is>
          <t>fact</t>
        </is>
      </c>
    </row>
    <row r="51">
      <c r="A51" s="17" t="inlineStr">
        <is>
          <t>EV-e71133e1d2</t>
        </is>
      </c>
      <c r="B51" s="17" t="inlineStr">
        <is>
          <t>strategic_analysis</t>
        </is>
      </c>
      <c r="C51" s="17" t="inlineStr">
        <is>
          <t>r1</t>
        </is>
      </c>
      <c r="D51" s="18" t="inlineStr">
        <is>
          <t>Nao ha base nem metodologia identificavel para produzir um TAM defensavel do EXECUTAR neste acervo.</t>
        </is>
      </c>
      <c r="E51" s="17" t="inlineStr">
        <is>
          <t>SA-03B</t>
        </is>
      </c>
      <c r="F51" s="17" t="inlineStr">
        <is>
          <t>tam_methodology</t>
        </is>
      </c>
      <c r="G51" s="17" t="inlineStr">
        <is>
          <t>ECO-01</t>
        </is>
      </c>
      <c r="H51" s="17" t="inlineStr">
        <is>
          <t>DOC-C07-009</t>
        </is>
      </c>
      <c r="I51" s="18" t="inlineStr">
        <is>
          <t>Falta: universo de compradores definido, taxa de adocao, preco medio validado e fonte bibliografica ([1]-[8] ausente). O proprio dashboard adverte que 26,1 mi de trabalhadores por conta propria 'Nao equivale a TAM do EXECUTAR'.</t>
        </is>
      </c>
      <c r="J51" s="17" t="inlineStr">
        <is>
          <t>none</t>
        </is>
      </c>
      <c r="K51" s="17" t="inlineStr">
        <is>
          <t>0.85</t>
        </is>
      </c>
      <c r="L51" s="17" t="inlineStr">
        <is>
          <t>gap</t>
        </is>
      </c>
    </row>
    <row r="52">
      <c r="A52" s="17" t="inlineStr">
        <is>
          <t>EV-7233490e0b</t>
        </is>
      </c>
      <c r="B52" s="17" t="inlineStr">
        <is>
          <t>strategic_analysis</t>
        </is>
      </c>
      <c r="C52" s="17" t="inlineStr">
        <is>
          <t>r1</t>
        </is>
      </c>
      <c r="D52" s="18" t="inlineStr">
        <is>
          <t>Nao ha base nem metodologia identificavel para produzir um TAM defensavel do EXECUTAR neste acervo.</t>
        </is>
      </c>
      <c r="E52" s="17" t="inlineStr">
        <is>
          <t>SA-03B</t>
        </is>
      </c>
      <c r="F52" s="17" t="inlineStr">
        <is>
          <t>tam_methodology</t>
        </is>
      </c>
      <c r="G52" s="17" t="inlineStr">
        <is>
          <t>ECO-01</t>
        </is>
      </c>
      <c r="H52" s="17" t="inlineStr">
        <is>
          <t>DOC-C07-007</t>
        </is>
      </c>
      <c r="I52" s="18" t="inlineStr">
        <is>
          <t>Falta: universo de compradores definido, taxa de adocao, preco medio validado e fonte bibliografica ([1]-[8] ausente). O proprio dashboard adverte que 26,1 mi de trabalhadores por conta propria 'Nao equivale a TAM do EXECUTAR'.</t>
        </is>
      </c>
      <c r="J52" s="17" t="inlineStr">
        <is>
          <t>none</t>
        </is>
      </c>
      <c r="K52" s="17" t="inlineStr">
        <is>
          <t>0.85</t>
        </is>
      </c>
      <c r="L52" s="17" t="inlineStr">
        <is>
          <t>gap</t>
        </is>
      </c>
    </row>
    <row r="53">
      <c r="A53" s="17" t="inlineStr">
        <is>
          <t>EV-ab353a2db6</t>
        </is>
      </c>
      <c r="B53" s="17" t="inlineStr">
        <is>
          <t>strategic_analysis</t>
        </is>
      </c>
      <c r="C53" s="17" t="inlineStr">
        <is>
          <t>r1</t>
        </is>
      </c>
      <c r="D53" s="18" t="inlineStr">
        <is>
          <t>Ha duas posicoes incompativeis sobre dimensionamento de mercado dentro do mesmo acervo.</t>
        </is>
      </c>
      <c r="E53" s="17" t="inlineStr">
        <is>
          <t>SA-03B</t>
        </is>
      </c>
      <c r="F53" s="17" t="inlineStr">
        <is>
          <t>tam_conflict</t>
        </is>
      </c>
      <c r="G53" s="17" t="inlineStr">
        <is>
          <t>ECO-01</t>
        </is>
      </c>
      <c r="H53" s="17" t="inlineStr">
        <is>
          <t>DOC-C07-007</t>
        </is>
      </c>
      <c r="I53" s="18" t="inlineStr">
        <is>
          <t>Versao A (QT-0131/132/133): TAM R$5,07 bi, SAM R$357,3 mi, SOM R$3,26 mi em 3 anos. Versao B (dashboard V3 Final): 'Contexto de mercado. Nao equivale a TAM do EXECUTAR' e 'Strict VERIFIED 0'.</t>
        </is>
      </c>
      <c r="J53" s="17" t="inlineStr">
        <is>
          <t>moderate</t>
        </is>
      </c>
      <c r="K53" s="17" t="inlineStr">
        <is>
          <t>0.85</t>
        </is>
      </c>
      <c r="L53" s="17" t="inlineStr">
        <is>
          <t>conflict</t>
        </is>
      </c>
    </row>
    <row r="54">
      <c r="A54" s="17" t="inlineStr">
        <is>
          <t>EV-f9c8a9941a</t>
        </is>
      </c>
      <c r="B54" s="17" t="inlineStr">
        <is>
          <t>strategic_analysis</t>
        </is>
      </c>
      <c r="C54" s="17" t="inlineStr">
        <is>
          <t>r1</t>
        </is>
      </c>
      <c r="D54" s="18" t="inlineStr">
        <is>
          <t>Ha duas posicoes incompativeis sobre dimensionamento de mercado dentro do mesmo acervo.</t>
        </is>
      </c>
      <c r="E54" s="17" t="inlineStr">
        <is>
          <t>SA-03B</t>
        </is>
      </c>
      <c r="F54" s="17" t="inlineStr">
        <is>
          <t>tam_conflict</t>
        </is>
      </c>
      <c r="G54" s="17" t="inlineStr">
        <is>
          <t>ECO-01</t>
        </is>
      </c>
      <c r="H54" s="17" t="inlineStr">
        <is>
          <t>DOC-C07-009</t>
        </is>
      </c>
      <c r="I54" s="18" t="inlineStr">
        <is>
          <t>Versao A (QT-0131/132/133): TAM R$5,07 bi, SAM R$357,3 mi, SOM R$3,26 mi em 3 anos. Versao B (dashboard V3 Final): 'Contexto de mercado. Nao equivale a TAM do EXECUTAR' e 'Strict VERIFIED 0'.</t>
        </is>
      </c>
      <c r="J54" s="17" t="inlineStr">
        <is>
          <t>moderate</t>
        </is>
      </c>
      <c r="K54" s="17" t="inlineStr">
        <is>
          <t>0.85</t>
        </is>
      </c>
      <c r="L54" s="17" t="inlineStr">
        <is>
          <t>conflict</t>
        </is>
      </c>
    </row>
    <row r="55">
      <c r="A55" s="17" t="inlineStr">
        <is>
          <t>EV-6671e65302</t>
        </is>
      </c>
      <c r="B55" s="17" t="inlineStr">
        <is>
          <t>strategic_analysis</t>
        </is>
      </c>
      <c r="C55" s="17" t="inlineStr">
        <is>
          <t>r1</t>
        </is>
      </c>
      <c r="D55" s="18" t="inlineStr">
        <is>
          <t>O material interno afirma SAM de R$ 357,3 milhoes e publico potencial de 6 milhoes de pessoas, sem metodologia recuperavel.</t>
        </is>
      </c>
      <c r="E55" s="17" t="inlineStr">
        <is>
          <t>SA-03C</t>
        </is>
      </c>
      <c r="F55" s="17" t="inlineStr">
        <is>
          <t>sam</t>
        </is>
      </c>
      <c r="G55" s="17" t="inlineStr">
        <is>
          <t>ECO-01</t>
        </is>
      </c>
      <c r="H55" s="17" t="inlineStr">
        <is>
          <t>DOC-C07-007</t>
        </is>
      </c>
      <c r="I55" s="18" t="inlineStr">
        <is>
          <t>QT-0132: 'SAM estimado 357300000.0 R$'; QT-0134: 'Publico potencial do SAM 6000000.0 pessoas'. Mesma limitacao: 'A imagem cita a referencia por numero, mas a lista bibliografica [1]-[8] nao esta no material anexado'.</t>
        </is>
      </c>
      <c r="J55" s="17" t="inlineStr">
        <is>
          <t>weak</t>
        </is>
      </c>
      <c r="K55" s="17" t="inlineStr">
        <is>
          <t>0.35</t>
        </is>
      </c>
      <c r="L55" s="17" t="inlineStr">
        <is>
          <t>fact</t>
        </is>
      </c>
    </row>
    <row r="56">
      <c r="A56" s="17" t="inlineStr">
        <is>
          <t>EV-f03dacaee5</t>
        </is>
      </c>
      <c r="B56" s="17" t="inlineStr">
        <is>
          <t>strategic_analysis</t>
        </is>
      </c>
      <c r="C56" s="17" t="inlineStr">
        <is>
          <t>r1</t>
        </is>
      </c>
      <c r="D56" s="18" t="inlineStr">
        <is>
          <t>O material interno afirma SAM de R$ 357,3 milhoes e publico potencial de 6 milhoes de pessoas, sem metodologia recuperavel.</t>
        </is>
      </c>
      <c r="E56" s="17" t="inlineStr">
        <is>
          <t>SA-03C</t>
        </is>
      </c>
      <c r="F56" s="17" t="inlineStr">
        <is>
          <t>sam</t>
        </is>
      </c>
      <c r="G56" s="17" t="inlineStr">
        <is>
          <t>ECO-01</t>
        </is>
      </c>
      <c r="H56" s="17" t="inlineStr">
        <is>
          <t>DOC-C07-009</t>
        </is>
      </c>
      <c r="I56" s="18" t="inlineStr">
        <is>
          <t>QT-0132: 'SAM estimado 357300000.0 R$'; QT-0134: 'Publico potencial do SAM 6000000.0 pessoas'. Mesma limitacao: 'A imagem cita a referencia por numero, mas a lista bibliografica [1]-[8] nao esta no material anexado'.</t>
        </is>
      </c>
      <c r="J56" s="17" t="inlineStr">
        <is>
          <t>weak</t>
        </is>
      </c>
      <c r="K56" s="17" t="inlineStr">
        <is>
          <t>0.35</t>
        </is>
      </c>
      <c r="L56" s="17" t="inlineStr">
        <is>
          <t>fact</t>
        </is>
      </c>
    </row>
    <row r="57">
      <c r="A57" s="17" t="inlineStr">
        <is>
          <t>EV-68aeeb3ea3</t>
        </is>
      </c>
      <c r="B57" s="17" t="inlineStr">
        <is>
          <t>strategic_analysis</t>
        </is>
      </c>
      <c r="C57" s="17" t="inlineStr">
        <is>
          <t>r1</t>
        </is>
      </c>
      <c r="D57" s="18" t="inlineStr">
        <is>
          <t>O material interno projeta SOM de R$ 3,26 milhoes em 3 anos, com meta de 500.000 inscritos e 1% de conversao anual.</t>
        </is>
      </c>
      <c r="E57" s="17" t="inlineStr">
        <is>
          <t>SA-03D</t>
        </is>
      </c>
      <c r="F57" s="17" t="inlineStr">
        <is>
          <t>som</t>
        </is>
      </c>
      <c r="G57" s="17" t="inlineStr">
        <is>
          <t>ECO-01</t>
        </is>
      </c>
      <c r="H57" s="17" t="inlineStr">
        <is>
          <t>DOC-C07-007</t>
        </is>
      </c>
      <c r="I57" s="18" t="inlineStr">
        <is>
          <t>QT-0133 'SOM projetado para tres anos 3260000.0 R$'; QT-0135 'Meta de inscritos 500000.0 / 3 anos'; QT-0136 'Conversao anual projetada 1,0%'.</t>
        </is>
      </c>
      <c r="J57" s="17" t="inlineStr">
        <is>
          <t>weak</t>
        </is>
      </c>
      <c r="K57" s="17" t="inlineStr">
        <is>
          <t>0.35</t>
        </is>
      </c>
      <c r="L57" s="17" t="inlineStr">
        <is>
          <t>fact</t>
        </is>
      </c>
    </row>
    <row r="58">
      <c r="A58" s="17" t="inlineStr">
        <is>
          <t>EV-7963dd8841</t>
        </is>
      </c>
      <c r="B58" s="17" t="inlineStr">
        <is>
          <t>strategic_analysis</t>
        </is>
      </c>
      <c r="C58" s="17" t="inlineStr">
        <is>
          <t>r1</t>
        </is>
      </c>
      <c r="D58" s="18" t="inlineStr">
        <is>
          <t>O material interno projeta SOM de R$ 3,26 milhoes em 3 anos, com meta de 500.000 inscritos e 1% de conversao anual.</t>
        </is>
      </c>
      <c r="E58" s="17" t="inlineStr">
        <is>
          <t>SA-03D</t>
        </is>
      </c>
      <c r="F58" s="17" t="inlineStr">
        <is>
          <t>som</t>
        </is>
      </c>
      <c r="G58" s="17" t="inlineStr">
        <is>
          <t>ECO-01</t>
        </is>
      </c>
      <c r="H58" s="17" t="inlineStr">
        <is>
          <t>DOC-C07-009</t>
        </is>
      </c>
      <c r="I58" s="18" t="inlineStr">
        <is>
          <t>QT-0133 'SOM projetado para tres anos 3260000.0 R$'; QT-0135 'Meta de inscritos 500000.0 / 3 anos'; QT-0136 'Conversao anual projetada 1,0%'.</t>
        </is>
      </c>
      <c r="J58" s="17" t="inlineStr">
        <is>
          <t>weak</t>
        </is>
      </c>
      <c r="K58" s="17" t="inlineStr">
        <is>
          <t>0.35</t>
        </is>
      </c>
      <c r="L58" s="17" t="inlineStr">
        <is>
          <t>fact</t>
        </is>
      </c>
    </row>
    <row r="59">
      <c r="A59" s="17" t="inlineStr">
        <is>
          <t>EV-92a63464ce</t>
        </is>
      </c>
      <c r="B59" s="17" t="inlineStr">
        <is>
          <t>strategic_analysis</t>
        </is>
      </c>
      <c r="C59" s="17" t="inlineStr">
        <is>
          <t>r1</t>
        </is>
      </c>
      <c r="D59" s="18" t="inlineStr">
        <is>
          <t>A meta herdada de 500.000 inscritos contradiz a regra vigente de nao fixar metas sem baseline.</t>
        </is>
      </c>
      <c r="E59" s="17" t="inlineStr">
        <is>
          <t>SA-03D</t>
        </is>
      </c>
      <c r="F59" s="17" t="inlineStr">
        <is>
          <t>som_conflict</t>
        </is>
      </c>
      <c r="G59" s="17" t="inlineStr">
        <is>
          <t>ECO-02</t>
        </is>
      </c>
      <c r="H59" s="17" t="inlineStr">
        <is>
          <t>DOC-C07-007</t>
        </is>
      </c>
      <c r="I59" s="18" t="inlineStr">
        <is>
          <t>QT-0135: 'Meta de inscritos 500000.0'. DOC-C02-043 (Objetivo SMART): 'Nao estabelecer ainda metas arbitrarias de seguidores ou leads sem baseline.'</t>
        </is>
      </c>
      <c r="J59" s="17" t="inlineStr">
        <is>
          <t>moderate</t>
        </is>
      </c>
      <c r="K59" s="17" t="inlineStr">
        <is>
          <t>0.8</t>
        </is>
      </c>
      <c r="L59" s="17" t="inlineStr">
        <is>
          <t>conflict</t>
        </is>
      </c>
    </row>
    <row r="60">
      <c r="A60" s="17" t="inlineStr">
        <is>
          <t>EV-d9d6da8b2f</t>
        </is>
      </c>
      <c r="B60" s="17" t="inlineStr">
        <is>
          <t>strategic_analysis</t>
        </is>
      </c>
      <c r="C60" s="17" t="inlineStr">
        <is>
          <t>r1</t>
        </is>
      </c>
      <c r="D60" s="18" t="inlineStr">
        <is>
          <t>A meta herdada de 500.000 inscritos contradiz a regra vigente de nao fixar metas sem baseline.</t>
        </is>
      </c>
      <c r="E60" s="17" t="inlineStr">
        <is>
          <t>SA-03D</t>
        </is>
      </c>
      <c r="F60" s="17" t="inlineStr">
        <is>
          <t>som_conflict</t>
        </is>
      </c>
      <c r="G60" s="17" t="inlineStr">
        <is>
          <t>ECO-02</t>
        </is>
      </c>
      <c r="H60" s="17" t="inlineStr">
        <is>
          <t>DOC-C02-043</t>
        </is>
      </c>
      <c r="I60" s="18" t="inlineStr">
        <is>
          <t>QT-0135: 'Meta de inscritos 500000.0'. DOC-C02-043 (Objetivo SMART): 'Nao estabelecer ainda metas arbitrarias de seguidores ou leads sem baseline.'</t>
        </is>
      </c>
      <c r="J60" s="17" t="inlineStr">
        <is>
          <t>moderate</t>
        </is>
      </c>
      <c r="K60" s="17" t="inlineStr">
        <is>
          <t>0.8</t>
        </is>
      </c>
      <c r="L60" s="17" t="inlineStr">
        <is>
          <t>conflict</t>
        </is>
      </c>
    </row>
    <row r="61">
      <c r="A61" s="17" t="inlineStr">
        <is>
          <t>EV-86ae19663e</t>
        </is>
      </c>
      <c r="B61" s="17" t="inlineStr">
        <is>
          <t>strategic_analysis</t>
        </is>
      </c>
      <c r="C61" s="17" t="inlineStr">
        <is>
          <t>r1</t>
        </is>
      </c>
      <c r="D61" s="18" t="inlineStr">
        <is>
          <t>Nao existe dimensionamento de mercado especifico para a unidade editorial.</t>
        </is>
      </c>
      <c r="E61" s="17" t="inlineStr">
        <is>
          <t>SA-03B</t>
        </is>
      </c>
      <c r="F61" s="17" t="inlineStr">
        <is>
          <t>tam</t>
        </is>
      </c>
      <c r="G61" s="17" t="inlineStr">
        <is>
          <t>ECO-02</t>
        </is>
      </c>
      <c r="H61" s="17" t="inlineStr">
        <is>
          <t>DOC-C07-007</t>
        </is>
      </c>
      <c r="I61" s="18" t="inlineStr">
        <is>
          <t>Os unicos numeros de mercado no acervo (QT-0131/132/133) referem-se ao projeto de produto/neuroexecucao, nao a receita editorial; nenhum documento estima receita de publicidade, newsletter ou patrocinio.</t>
        </is>
      </c>
      <c r="J61" s="17" t="inlineStr">
        <is>
          <t>none</t>
        </is>
      </c>
      <c r="K61" s="17" t="inlineStr">
        <is>
          <t>0.8</t>
        </is>
      </c>
      <c r="L61" s="17" t="inlineStr">
        <is>
          <t>gap</t>
        </is>
      </c>
    </row>
    <row r="62">
      <c r="A62" s="17" t="inlineStr">
        <is>
          <t>EV-1d3f4394a1</t>
        </is>
      </c>
      <c r="B62" s="17" t="inlineStr">
        <is>
          <t>strategic_analysis</t>
        </is>
      </c>
      <c r="C62" s="17" t="inlineStr">
        <is>
          <t>r1</t>
        </is>
      </c>
      <c r="D62" s="18" t="inlineStr">
        <is>
          <t>Nao existe TAM/SAM/SOM para os servicos; ha apenas preco e capacidade.</t>
        </is>
      </c>
      <c r="E62" s="17" t="inlineStr">
        <is>
          <t>SA-03B</t>
        </is>
      </c>
      <c r="F62" s="17" t="inlineStr">
        <is>
          <t>tam</t>
        </is>
      </c>
      <c r="G62" s="17" t="inlineStr">
        <is>
          <t>ECO-07</t>
        </is>
      </c>
      <c r="H62" s="17" t="inlineStr">
        <is>
          <t>DOC-C05-001</t>
        </is>
      </c>
      <c r="I62" s="18" t="inlineStr">
        <is>
          <t>DOC-C05-001 registra 'Um projeto, uma entrega, uma semana: R$ 700,00' e 'Limite de um cliente por semana', mas nenhum documento estima demanda ou numero de compradores potenciais.</t>
        </is>
      </c>
      <c r="J62" s="17" t="inlineStr">
        <is>
          <t>none</t>
        </is>
      </c>
      <c r="K62" s="17" t="inlineStr">
        <is>
          <t>0.85</t>
        </is>
      </c>
      <c r="L62" s="17" t="inlineStr">
        <is>
          <t>gap</t>
        </is>
      </c>
    </row>
    <row r="63">
      <c r="A63" s="17" t="inlineStr">
        <is>
          <t>EV-92b190f032</t>
        </is>
      </c>
      <c r="B63" s="17" t="inlineStr">
        <is>
          <t>strategic_analysis</t>
        </is>
      </c>
      <c r="C63" s="17" t="inlineStr">
        <is>
          <t>r1</t>
        </is>
      </c>
      <c r="D63" s="17" t="inlineStr">
        <is>
          <t>A segmentacao adotada e comportamental, nao clinica.</t>
        </is>
      </c>
      <c r="E63" s="17" t="inlineStr">
        <is>
          <t>SA-04A</t>
        </is>
      </c>
      <c r="F63" s="17" t="inlineStr">
        <is>
          <t>segmentation_axis</t>
        </is>
      </c>
      <c r="G63" s="17" t="inlineStr">
        <is>
          <t>ECO-01</t>
        </is>
      </c>
      <c r="H63" s="17" t="inlineStr">
        <is>
          <t>DOC-C07-009</t>
        </is>
      </c>
      <c r="I63" s="18" t="inlineStr">
        <is>
          <t>Decisao ICP-01: 'Iniciar testes por profissionais independentes multiprojeto, sem exigir diagnostico de TDAH'; 'O que nao e criterio de entrada: Diagnostico de TDAH'.</t>
        </is>
      </c>
      <c r="J63" s="17" t="inlineStr">
        <is>
          <t>strong</t>
        </is>
      </c>
      <c r="K63" s="17" t="inlineStr">
        <is>
          <t>0.9</t>
        </is>
      </c>
      <c r="L63" s="17" t="inlineStr">
        <is>
          <t>fact</t>
        </is>
      </c>
    </row>
    <row r="64">
      <c r="A64" s="17" t="inlineStr">
        <is>
          <t>EV-e9e55e049f</t>
        </is>
      </c>
      <c r="B64" s="17" t="inlineStr">
        <is>
          <t>strategic_analysis</t>
        </is>
      </c>
      <c r="C64" s="17" t="inlineStr">
        <is>
          <t>r1</t>
        </is>
      </c>
      <c r="D64" s="18" t="inlineStr">
        <is>
          <t>O material editorial define publico prioritario como empreendedores e profissionais liberais adultos com TDAH.</t>
        </is>
      </c>
      <c r="E64" s="17" t="inlineStr">
        <is>
          <t>SA-04A</t>
        </is>
      </c>
      <c r="F64" s="17" t="inlineStr">
        <is>
          <t>segment_definition</t>
        </is>
      </c>
      <c r="G64" s="17" t="inlineStr">
        <is>
          <t>ECO-02</t>
        </is>
      </c>
      <c r="H64" s="17" t="inlineStr">
        <is>
          <t>DOC-C07-007</t>
        </is>
      </c>
      <c r="I64" s="18" t="inlineStr">
        <is>
          <t>QL-0018: 'Empreendedores e profissionais liberais adultos com TDAH sao definidos como publico prioritario'; QT-0140/0141 fixam faixa etaria 25-44 anos.</t>
        </is>
      </c>
      <c r="J64" s="17" t="inlineStr">
        <is>
          <t>moderate</t>
        </is>
      </c>
      <c r="K64" s="17" t="inlineStr">
        <is>
          <t>0.75</t>
        </is>
      </c>
      <c r="L64" s="17" t="inlineStr">
        <is>
          <t>fact</t>
        </is>
      </c>
    </row>
    <row r="65">
      <c r="A65" s="17" t="inlineStr">
        <is>
          <t>EV-21f82d1f24</t>
        </is>
      </c>
      <c r="B65" s="17" t="inlineStr">
        <is>
          <t>strategic_analysis</t>
        </is>
      </c>
      <c r="C65" s="17" t="inlineStr">
        <is>
          <t>r1</t>
        </is>
      </c>
      <c r="D65" s="18" t="inlineStr">
        <is>
          <t>O material editorial define publico prioritario como empreendedores e profissionais liberais adultos com TDAH.</t>
        </is>
      </c>
      <c r="E65" s="17" t="inlineStr">
        <is>
          <t>SA-04A</t>
        </is>
      </c>
      <c r="F65" s="17" t="inlineStr">
        <is>
          <t>segment_definition</t>
        </is>
      </c>
      <c r="G65" s="17" t="inlineStr">
        <is>
          <t>ECO-02</t>
        </is>
      </c>
      <c r="H65" s="17" t="inlineStr">
        <is>
          <t>DOC-C07-009</t>
        </is>
      </c>
      <c r="I65" s="18" t="inlineStr">
        <is>
          <t>QL-0018: 'Empreendedores e profissionais liberais adultos com TDAH sao definidos como publico prioritario'; QT-0140/0141 fixam faixa etaria 25-44 anos.</t>
        </is>
      </c>
      <c r="J65" s="17" t="inlineStr">
        <is>
          <t>moderate</t>
        </is>
      </c>
      <c r="K65" s="17" t="inlineStr">
        <is>
          <t>0.75</t>
        </is>
      </c>
      <c r="L65" s="17" t="inlineStr">
        <is>
          <t>fact</t>
        </is>
      </c>
    </row>
    <row r="66">
      <c r="A66" s="17" t="inlineStr">
        <is>
          <t>EV-0f30595ebe</t>
        </is>
      </c>
      <c r="B66" s="17" t="inlineStr">
        <is>
          <t>strategic_analysis</t>
        </is>
      </c>
      <c r="C66" s="17" t="inlineStr">
        <is>
          <t>r1</t>
        </is>
      </c>
      <c r="D66" s="18" t="inlineStr">
        <is>
          <t>Ha tensao entre a segmentacao clinica do editorial e a segmentacao comportamental do produto.</t>
        </is>
      </c>
      <c r="E66" s="17" t="inlineStr">
        <is>
          <t>SA-04A</t>
        </is>
      </c>
      <c r="F66" s="17" t="inlineStr">
        <is>
          <t>segment_conflict</t>
        </is>
      </c>
      <c r="G66" s="17" t="inlineStr">
        <is>
          <t>ECO-01</t>
        </is>
      </c>
      <c r="H66" s="17" t="inlineStr">
        <is>
          <t>DOC-C07-007</t>
        </is>
      </c>
      <c r="I66" s="18" t="inlineStr">
        <is>
          <t>Editorial (QL-0018): publico e 'adultos com TDAH'. Produto (ICP-01): 'diagnostico nao define o ICP comercial inicial'. As duas convivem no mesmo funil de lancamento de 07/09.</t>
        </is>
      </c>
      <c r="J66" s="17" t="inlineStr">
        <is>
          <t>moderate</t>
        </is>
      </c>
      <c r="K66" s="17" t="inlineStr">
        <is>
          <t>0.75</t>
        </is>
      </c>
      <c r="L66" s="17" t="inlineStr">
        <is>
          <t>conflict</t>
        </is>
      </c>
    </row>
    <row r="67">
      <c r="A67" s="17" t="inlineStr">
        <is>
          <t>EV-5b6f7e8e03</t>
        </is>
      </c>
      <c r="B67" s="17" t="inlineStr">
        <is>
          <t>strategic_analysis</t>
        </is>
      </c>
      <c r="C67" s="17" t="inlineStr">
        <is>
          <t>r1</t>
        </is>
      </c>
      <c r="D67" s="18" t="inlineStr">
        <is>
          <t>Ha tensao entre a segmentacao clinica do editorial e a segmentacao comportamental do produto.</t>
        </is>
      </c>
      <c r="E67" s="17" t="inlineStr">
        <is>
          <t>SA-04A</t>
        </is>
      </c>
      <c r="F67" s="17" t="inlineStr">
        <is>
          <t>segment_conflict</t>
        </is>
      </c>
      <c r="G67" s="17" t="inlineStr">
        <is>
          <t>ECO-01</t>
        </is>
      </c>
      <c r="H67" s="17" t="inlineStr">
        <is>
          <t>DOC-C07-009</t>
        </is>
      </c>
      <c r="I67" s="18" t="inlineStr">
        <is>
          <t>Editorial (QL-0018): publico e 'adultos com TDAH'. Produto (ICP-01): 'diagnostico nao define o ICP comercial inicial'. As duas convivem no mesmo funil de lancamento de 07/09.</t>
        </is>
      </c>
      <c r="J67" s="17" t="inlineStr">
        <is>
          <t>moderate</t>
        </is>
      </c>
      <c r="K67" s="17" t="inlineStr">
        <is>
          <t>0.75</t>
        </is>
      </c>
      <c r="L67" s="17" t="inlineStr">
        <is>
          <t>conflict</t>
        </is>
      </c>
    </row>
    <row r="68">
      <c r="A68" s="17" t="inlineStr">
        <is>
          <t>EV-8b01db0a58</t>
        </is>
      </c>
      <c r="B68" s="17" t="inlineStr">
        <is>
          <t>strategic_analysis</t>
        </is>
      </c>
      <c r="C68" s="17" t="inlineStr">
        <is>
          <t>r1</t>
        </is>
      </c>
      <c r="D68" s="18" t="inlineStr">
        <is>
          <t>Ha tensao entre a segmentacao clinica do editorial e a segmentacao comportamental do produto.</t>
        </is>
      </c>
      <c r="E68" s="17" t="inlineStr">
        <is>
          <t>SA-04A</t>
        </is>
      </c>
      <c r="F68" s="17" t="inlineStr">
        <is>
          <t>segment_conflict</t>
        </is>
      </c>
      <c r="G68" s="17" t="inlineStr">
        <is>
          <t>ECO-01</t>
        </is>
      </c>
      <c r="H68" s="17" t="inlineStr">
        <is>
          <t>DOC-C12-005</t>
        </is>
      </c>
      <c r="I68" s="18" t="inlineStr">
        <is>
          <t>Editorial (QL-0018): publico e 'adultos com TDAH'. Produto (ICP-01): 'diagnostico nao define o ICP comercial inicial'. As duas convivem no mesmo funil de lancamento de 07/09.</t>
        </is>
      </c>
      <c r="J68" s="17" t="inlineStr">
        <is>
          <t>moderate</t>
        </is>
      </c>
      <c r="K68" s="17" t="inlineStr">
        <is>
          <t>0.75</t>
        </is>
      </c>
      <c r="L68" s="17" t="inlineStr">
        <is>
          <t>conflict</t>
        </is>
      </c>
    </row>
    <row r="69">
      <c r="A69" s="17" t="inlineStr">
        <is>
          <t>EV-cc28969ecd</t>
        </is>
      </c>
      <c r="B69" s="17" t="inlineStr">
        <is>
          <t>strategic_analysis</t>
        </is>
      </c>
      <c r="C69" s="17" t="inlineStr">
        <is>
          <t>r1</t>
        </is>
      </c>
      <c r="D69" s="18" t="inlineStr">
        <is>
          <t>O framework define dois publicos distintos: leitores interessados e especialistas como critica externa.</t>
        </is>
      </c>
      <c r="E69" s="17" t="inlineStr">
        <is>
          <t>SA-04A</t>
        </is>
      </c>
      <c r="F69" s="17" t="inlineStr">
        <is>
          <t>segment_definition</t>
        </is>
      </c>
      <c r="G69" s="17" t="inlineStr">
        <is>
          <t>ECO-03</t>
        </is>
      </c>
      <c r="H69" s="17" t="inlineStr">
        <is>
          <t>DOC-C02-039</t>
        </is>
      </c>
      <c r="I69" s="18" t="inlineStr">
        <is>
          <t>DOC-C02-039 (BMC): 'Leitores interessados em funcoes executivas, neurodivergencia, trabalho, projetos e risco; especialistas entram como critica externa, nao como endosso.'</t>
        </is>
      </c>
      <c r="J69" s="17" t="inlineStr">
        <is>
          <t>strong</t>
        </is>
      </c>
      <c r="K69" s="17" t="inlineStr">
        <is>
          <t>0.85</t>
        </is>
      </c>
      <c r="L69" s="17" t="inlineStr">
        <is>
          <t>fact</t>
        </is>
      </c>
    </row>
    <row r="70">
      <c r="A70" s="17" t="inlineStr">
        <is>
          <t>EV-d8c044acb0</t>
        </is>
      </c>
      <c r="B70" s="17" t="inlineStr">
        <is>
          <t>strategic_analysis</t>
        </is>
      </c>
      <c r="C70" s="17" t="inlineStr">
        <is>
          <t>r1</t>
        </is>
      </c>
      <c r="D70" s="18" t="inlineStr">
        <is>
          <t>O framework define dois publicos distintos: leitores interessados e especialistas como critica externa.</t>
        </is>
      </c>
      <c r="E70" s="17" t="inlineStr">
        <is>
          <t>SA-04A</t>
        </is>
      </c>
      <c r="F70" s="17" t="inlineStr">
        <is>
          <t>segment_definition</t>
        </is>
      </c>
      <c r="G70" s="17" t="inlineStr">
        <is>
          <t>ECO-03</t>
        </is>
      </c>
      <c r="H70" s="17" t="inlineStr">
        <is>
          <t>DOC-C02-042</t>
        </is>
      </c>
      <c r="I70" s="18" t="inlineStr">
        <is>
          <t>DOC-C02-039 (BMC): 'Leitores interessados em funcoes executivas, neurodivergencia, trabalho, projetos e risco; especialistas entram como critica externa, nao como endosso.'</t>
        </is>
      </c>
      <c r="J70" s="17" t="inlineStr">
        <is>
          <t>strong</t>
        </is>
      </c>
      <c r="K70" s="17" t="inlineStr">
        <is>
          <t>0.85</t>
        </is>
      </c>
      <c r="L70" s="17" t="inlineStr">
        <is>
          <t>fact</t>
        </is>
      </c>
    </row>
    <row r="71">
      <c r="A71" s="17" t="inlineStr">
        <is>
          <t>EV-91d8be5d6d</t>
        </is>
      </c>
      <c r="B71" s="17" t="inlineStr">
        <is>
          <t>strategic_analysis</t>
        </is>
      </c>
      <c r="C71" s="17" t="inlineStr">
        <is>
          <t>r1</t>
        </is>
      </c>
      <c r="D71" s="18" t="inlineStr">
        <is>
          <t>Nao ha definicao de segmento para os servicos alem de tres familias nao especificadas no acervo lido.</t>
        </is>
      </c>
      <c r="E71" s="17" t="inlineStr">
        <is>
          <t>SA-04A</t>
        </is>
      </c>
      <c r="F71" s="17" t="inlineStr">
        <is>
          <t>segment_definition</t>
        </is>
      </c>
      <c r="G71" s="17" t="inlineStr">
        <is>
          <t>ECO-07</t>
        </is>
      </c>
      <c r="H71" s="17" t="inlineStr">
        <is>
          <t>DOC-C09-006</t>
        </is>
      </c>
      <c r="I71" s="18" t="inlineStr">
        <is>
          <t>DOC-C09-006 lista como pendencia 'tres familias de servico' e 'condicao de preco inicial'; DOC-C02-004 registra CONS-01/CONS-02 como CONCLUIDO, mas nenhum documento lido nomeia as tres familias.</t>
        </is>
      </c>
      <c r="J71" s="17" t="inlineStr">
        <is>
          <t>none</t>
        </is>
      </c>
      <c r="K71" s="17" t="inlineStr">
        <is>
          <t>0.75</t>
        </is>
      </c>
      <c r="L71" s="17" t="inlineStr">
        <is>
          <t>gap</t>
        </is>
      </c>
    </row>
    <row r="72">
      <c r="A72" s="17" t="inlineStr">
        <is>
          <t>EV-d95ff2504e</t>
        </is>
      </c>
      <c r="B72" s="17" t="inlineStr">
        <is>
          <t>strategic_analysis</t>
        </is>
      </c>
      <c r="C72" s="17" t="inlineStr">
        <is>
          <t>r1</t>
        </is>
      </c>
      <c r="D72" s="18" t="inlineStr">
        <is>
          <t>Nao ha definicao de segmento para os servicos alem de tres familias nao especificadas no acervo lido.</t>
        </is>
      </c>
      <c r="E72" s="17" t="inlineStr">
        <is>
          <t>SA-04A</t>
        </is>
      </c>
      <c r="F72" s="17" t="inlineStr">
        <is>
          <t>segment_definition</t>
        </is>
      </c>
      <c r="G72" s="17" t="inlineStr">
        <is>
          <t>ECO-07</t>
        </is>
      </c>
      <c r="H72" s="17" t="inlineStr">
        <is>
          <t>DOC-C02-004</t>
        </is>
      </c>
      <c r="I72" s="18" t="inlineStr">
        <is>
          <t>DOC-C09-006 lista como pendencia 'tres familias de servico' e 'condicao de preco inicial'; DOC-C02-004 registra CONS-01/CONS-02 como CONCLUIDO, mas nenhum documento lido nomeia as tres familias.</t>
        </is>
      </c>
      <c r="J72" s="17" t="inlineStr">
        <is>
          <t>none</t>
        </is>
      </c>
      <c r="K72" s="17" t="inlineStr">
        <is>
          <t>0.75</t>
        </is>
      </c>
      <c r="L72" s="17" t="inlineStr">
        <is>
          <t>gap</t>
        </is>
      </c>
    </row>
    <row r="73">
      <c r="A73" s="17" t="inlineStr">
        <is>
          <t>EV-8e9876e0e5</t>
        </is>
      </c>
      <c r="B73" s="17" t="inlineStr">
        <is>
          <t>strategic_analysis</t>
        </is>
      </c>
      <c r="C73" s="17" t="inlineStr">
        <is>
          <t>r1</t>
        </is>
      </c>
      <c r="D73" s="18" t="inlineStr">
        <is>
          <t>Nao ha definicao de segmento para os servicos alem de tres familias nao especificadas no acervo lido.</t>
        </is>
      </c>
      <c r="E73" s="17" t="inlineStr">
        <is>
          <t>SA-04A</t>
        </is>
      </c>
      <c r="F73" s="17" t="inlineStr">
        <is>
          <t>segment_definition</t>
        </is>
      </c>
      <c r="G73" s="17" t="inlineStr">
        <is>
          <t>ECO-07</t>
        </is>
      </c>
      <c r="H73" s="17" t="inlineStr">
        <is>
          <t>DOC-C12-006</t>
        </is>
      </c>
      <c r="I73" s="18" t="inlineStr">
        <is>
          <t>DOC-C09-006 lista como pendencia 'tres familias de servico' e 'condicao de preco inicial'; DOC-C02-004 registra CONS-01/CONS-02 como CONCLUIDO, mas nenhum documento lido nomeia as tres familias.</t>
        </is>
      </c>
      <c r="J73" s="17" t="inlineStr">
        <is>
          <t>none</t>
        </is>
      </c>
      <c r="K73" s="17" t="inlineStr">
        <is>
          <t>0.75</t>
        </is>
      </c>
      <c r="L73" s="17" t="inlineStr">
        <is>
          <t>gap</t>
        </is>
      </c>
    </row>
    <row r="74">
      <c r="A74" s="17" t="inlineStr">
        <is>
          <t>EV-497090ae47</t>
        </is>
      </c>
      <c r="B74" s="17" t="inlineStr">
        <is>
          <t>strategic_analysis</t>
        </is>
      </c>
      <c r="C74" s="17" t="inlineStr">
        <is>
          <t>r1</t>
        </is>
      </c>
      <c r="D74" s="18" t="inlineStr">
        <is>
          <t>O ICP comercial a testar esta escrito de forma operacional e falseavel.</t>
        </is>
      </c>
      <c r="E74" s="17" t="inlineStr">
        <is>
          <t>SA-04B</t>
        </is>
      </c>
      <c r="F74" s="17" t="inlineStr">
        <is>
          <t>icp</t>
        </is>
      </c>
      <c r="G74" s="17" t="inlineStr">
        <is>
          <t>ECO-01</t>
        </is>
      </c>
      <c r="H74" s="17" t="inlineStr">
        <is>
          <t>DOC-C07-009</t>
        </is>
      </c>
      <c r="I74" s="18" t="inlineStr">
        <is>
          <t>Dashboard: 'Profissional independente/solo brasileiro, aproximadamente 25-44 anos, multiprojeto, que perde contexto, tem dificuldade recorrente para escolher proxima acao, ja tentou ferramentas de produtividade e controla/influencia a propria compra.'</t>
        </is>
      </c>
      <c r="J74" s="17" t="inlineStr">
        <is>
          <t>strong</t>
        </is>
      </c>
      <c r="K74" s="17" t="inlineStr">
        <is>
          <t>0.9</t>
        </is>
      </c>
      <c r="L74" s="17" t="inlineStr">
        <is>
          <t>fact</t>
        </is>
      </c>
    </row>
    <row r="75">
      <c r="A75" s="17" t="inlineStr">
        <is>
          <t>EV-efbcd8373f</t>
        </is>
      </c>
      <c r="B75" s="17" t="inlineStr">
        <is>
          <t>strategic_analysis</t>
        </is>
      </c>
      <c r="C75" s="17" t="inlineStr">
        <is>
          <t>r1</t>
        </is>
      </c>
      <c r="D75" s="18" t="inlineStr">
        <is>
          <t>O ICP permanece hipotese: nao ha validacao com clientes reais.</t>
        </is>
      </c>
      <c r="E75" s="17" t="inlineStr">
        <is>
          <t>SA-04B</t>
        </is>
      </c>
      <c r="F75" s="17" t="inlineStr">
        <is>
          <t>icp_validation</t>
        </is>
      </c>
      <c r="G75" s="17" t="inlineStr">
        <is>
          <t>ECO-01</t>
        </is>
      </c>
      <c r="H75" s="17" t="inlineStr">
        <is>
          <t>DOC-C07-009</t>
        </is>
      </c>
      <c r="I75" s="18" t="inlineStr">
        <is>
          <t>gaps[0]: 'ICP comercial - HIPOTESE FORTE / TESTAVEL - closed: false - remaining: Validacao com clientes reais'; finding ICP-HYP-01 tem epistemic_class E e status HYPOTHESIS.</t>
        </is>
      </c>
      <c r="J75" s="17" t="inlineStr">
        <is>
          <t>strong</t>
        </is>
      </c>
      <c r="K75" s="17" t="inlineStr">
        <is>
          <t>0.9</t>
        </is>
      </c>
      <c r="L75" s="17" t="inlineStr">
        <is>
          <t>fact</t>
        </is>
      </c>
    </row>
    <row r="76">
      <c r="A76" s="17" t="inlineStr">
        <is>
          <t>EV-8c6359a9c2</t>
        </is>
      </c>
      <c r="B76" s="17" t="inlineStr">
        <is>
          <t>strategic_analysis</t>
        </is>
      </c>
      <c r="C76" s="17" t="inlineStr">
        <is>
          <t>r1</t>
        </is>
      </c>
      <c r="D76" s="18" t="inlineStr">
        <is>
          <t>O ICP do Estudio esta implicito no formulario de entrada, nao declarado.</t>
        </is>
      </c>
      <c r="E76" s="17" t="inlineStr">
        <is>
          <t>SA-04B</t>
        </is>
      </c>
      <c r="F76" s="17" t="inlineStr">
        <is>
          <t>icp</t>
        </is>
      </c>
      <c r="G76" s="17" t="inlineStr">
        <is>
          <t>ECO-07</t>
        </is>
      </c>
      <c r="H76" s="17" t="inlineStr">
        <is>
          <t>DOC-C12-003</t>
        </is>
      </c>
      <c r="I76" s="18" t="inlineStr">
        <is>
          <t>DOC-C12-003 pergunta 'como trabalha hoje; principal atrito; ferramentas atuais; resultado desejado; ... prazo desejado; faixa de investimento' - e um instrumento de qualificacao, mas nenhum documento declara o perfil-alvo.</t>
        </is>
      </c>
      <c r="J76" s="17" t="inlineStr">
        <is>
          <t>moderate</t>
        </is>
      </c>
      <c r="K76" s="17" t="inlineStr">
        <is>
          <t>0.7</t>
        </is>
      </c>
      <c r="L76" s="17" t="inlineStr">
        <is>
          <t>gap</t>
        </is>
      </c>
    </row>
    <row r="77">
      <c r="A77" s="17" t="inlineStr">
        <is>
          <t>EV-60c5a05cef</t>
        </is>
      </c>
      <c r="B77" s="17" t="inlineStr">
        <is>
          <t>strategic_analysis</t>
        </is>
      </c>
      <c r="C77" s="17" t="inlineStr">
        <is>
          <t>r1</t>
        </is>
      </c>
      <c r="D77" s="18" t="inlineStr">
        <is>
          <t>O ICP do Estudio esta implicito no formulario de entrada, nao declarado.</t>
        </is>
      </c>
      <c r="E77" s="17" t="inlineStr">
        <is>
          <t>SA-04B</t>
        </is>
      </c>
      <c r="F77" s="17" t="inlineStr">
        <is>
          <t>icp</t>
        </is>
      </c>
      <c r="G77" s="17" t="inlineStr">
        <is>
          <t>ECO-07</t>
        </is>
      </c>
      <c r="H77" s="17" t="inlineStr">
        <is>
          <t>DOC-C09-006</t>
        </is>
      </c>
      <c r="I77" s="18" t="inlineStr">
        <is>
          <t>DOC-C12-003 pergunta 'como trabalha hoje; principal atrito; ferramentas atuais; resultado desejado; ... prazo desejado; faixa de investimento' - e um instrumento de qualificacao, mas nenhum documento declara o perfil-alvo.</t>
        </is>
      </c>
      <c r="J77" s="17" t="inlineStr">
        <is>
          <t>moderate</t>
        </is>
      </c>
      <c r="K77" s="17" t="inlineStr">
        <is>
          <t>0.7</t>
        </is>
      </c>
      <c r="L77" s="17" t="inlineStr">
        <is>
          <t>gap</t>
        </is>
      </c>
    </row>
    <row r="78">
      <c r="A78" s="17" t="inlineStr">
        <is>
          <t>EV-6c03b1000c</t>
        </is>
      </c>
      <c r="B78" s="17" t="inlineStr">
        <is>
          <t>strategic_analysis</t>
        </is>
      </c>
      <c r="C78" s="17" t="inlineStr">
        <is>
          <t>r1</t>
        </is>
      </c>
      <c r="D78" s="18" t="inlineStr">
        <is>
          <t>O acervo formula oito enunciados de job em primeira pessoa que descrevem a distancia entre intencao e execucao.</t>
        </is>
      </c>
      <c r="E78" s="17" t="inlineStr">
        <is>
          <t>SA-04C</t>
        </is>
      </c>
      <c r="F78" s="17" t="inlineStr">
        <is>
          <t>job_statement</t>
        </is>
      </c>
      <c r="G78" s="17" t="inlineStr">
        <is>
          <t>ECO-02</t>
        </is>
      </c>
      <c r="H78" s="17" t="inlineStr">
        <is>
          <t>DOC-C01-005</t>
        </is>
      </c>
      <c r="I78" s="18" t="inlineStr">
        <is>
          <t>DOC-C01-005: 'Quero fazer, mas nao consigo iniciar. Comeco, mas nao consigo sustentar. Sei fazer, mas esqueco etapas... Entrego, mas atraves de urgencia, estresse e recuperacao posterior. Crio sistemas de produtividade, mas nao consigo mante-los.'</t>
        </is>
      </c>
      <c r="J78" s="17" t="inlineStr">
        <is>
          <t>strong</t>
        </is>
      </c>
      <c r="K78" s="17" t="inlineStr">
        <is>
          <t>0.9</t>
        </is>
      </c>
      <c r="L78" s="17" t="inlineStr">
        <is>
          <t>fact</t>
        </is>
      </c>
    </row>
    <row r="79">
      <c r="A79" s="17" t="inlineStr">
        <is>
          <t>EV-f1e60874a0</t>
        </is>
      </c>
      <c r="B79" s="17" t="inlineStr">
        <is>
          <t>strategic_analysis</t>
        </is>
      </c>
      <c r="C79" s="17" t="inlineStr">
        <is>
          <t>r1</t>
        </is>
      </c>
      <c r="D79" s="18" t="inlineStr">
        <is>
          <t>O acervo formula oito enunciados de job em primeira pessoa que descrevem a distancia entre intencao e execucao.</t>
        </is>
      </c>
      <c r="E79" s="17" t="inlineStr">
        <is>
          <t>SA-04C</t>
        </is>
      </c>
      <c r="F79" s="17" t="inlineStr">
        <is>
          <t>job_statement</t>
        </is>
      </c>
      <c r="G79" s="17" t="inlineStr">
        <is>
          <t>ECO-02</t>
        </is>
      </c>
      <c r="H79" s="17" t="inlineStr">
        <is>
          <t>DOC-C03-002</t>
        </is>
      </c>
      <c r="I79" s="18" t="inlineStr">
        <is>
          <t>DOC-C01-005: 'Quero fazer, mas nao consigo iniciar. Comeco, mas nao consigo sustentar. Sei fazer, mas esqueco etapas... Entrego, mas atraves de urgencia, estresse e recuperacao posterior. Crio sistemas de produtividade, mas nao consigo mante-los.'</t>
        </is>
      </c>
      <c r="J79" s="17" t="inlineStr">
        <is>
          <t>strong</t>
        </is>
      </c>
      <c r="K79" s="17" t="inlineStr">
        <is>
          <t>0.9</t>
        </is>
      </c>
      <c r="L79" s="17" t="inlineStr">
        <is>
          <t>fact</t>
        </is>
      </c>
    </row>
    <row r="80">
      <c r="A80" s="17" t="inlineStr">
        <is>
          <t>EV-3b6e3cd264</t>
        </is>
      </c>
      <c r="B80" s="17" t="inlineStr">
        <is>
          <t>strategic_analysis</t>
        </is>
      </c>
      <c r="C80" s="17" t="inlineStr">
        <is>
          <t>r1</t>
        </is>
      </c>
      <c r="D80" s="18" t="inlineStr">
        <is>
          <t>O job funcional central e transformar contexto em proxima acao valida e preservar o estado do trabalho.</t>
        </is>
      </c>
      <c r="E80" s="17" t="inlineStr">
        <is>
          <t>SA-04C</t>
        </is>
      </c>
      <c r="F80" s="17" t="inlineStr">
        <is>
          <t>functional_job</t>
        </is>
      </c>
      <c r="G80" s="17" t="inlineStr">
        <is>
          <t>ECO-01</t>
        </is>
      </c>
      <c r="H80" s="17" t="inlineStr">
        <is>
          <t>DOC-C07-009</t>
        </is>
      </c>
      <c r="I80" s="18" t="inlineStr">
        <is>
          <t>positioning: 'Sistema de execucao para profissionais multiprojeto que transforma contexto em proxima acao e preserva o estado do trabalho'; VALUE_EVENT-01: 'Projeto real -&gt; contexto interpretado -&gt; proxima acao valida -&gt; acao executada -&gt; conclusao/evidencia registrada'.</t>
        </is>
      </c>
      <c r="J80" s="17" t="inlineStr">
        <is>
          <t>strong</t>
        </is>
      </c>
      <c r="K80" s="17" t="inlineStr">
        <is>
          <t>0.9</t>
        </is>
      </c>
      <c r="L80" s="17" t="inlineStr">
        <is>
          <t>fact</t>
        </is>
      </c>
    </row>
    <row r="81">
      <c r="A81" s="17" t="inlineStr">
        <is>
          <t>EV-5f92fe6be1</t>
        </is>
      </c>
      <c r="B81" s="17" t="inlineStr">
        <is>
          <t>strategic_analysis</t>
        </is>
      </c>
      <c r="C81" s="17" t="inlineStr">
        <is>
          <t>r1</t>
        </is>
      </c>
      <c r="D81" s="18" t="inlineStr">
        <is>
          <t>A matriz GP-01 a GP-11 mapeia onze jobs de gestao de projetos contra vulnerabilidades executivas e controles compensatorios.</t>
        </is>
      </c>
      <c r="E81" s="17" t="inlineStr">
        <is>
          <t>SA-04C</t>
        </is>
      </c>
      <c r="F81" s="17" t="inlineStr">
        <is>
          <t>job_map</t>
        </is>
      </c>
      <c r="G81" s="17" t="inlineStr">
        <is>
          <t>ECO-03</t>
        </is>
      </c>
      <c r="H81" s="17" t="inlineStr">
        <is>
          <t>DOC-C07-003</t>
        </is>
      </c>
      <c r="I81" s="18" t="inlineStr">
        <is>
          <t>DOC-C07-003 traz 11 linhas com colunas Funcao / Capacidade exigida / Vulnerabilidade / Evidencia (B/C/E) / Impacto operacional / Compensacao sistemica / Decisao de produto, de 'Iniciacao e escopo' a 'Capacidade e forecasting'.</t>
        </is>
      </c>
      <c r="J81" s="17" t="inlineStr">
        <is>
          <t>strong</t>
        </is>
      </c>
      <c r="K81" s="17" t="inlineStr">
        <is>
          <t>0.9</t>
        </is>
      </c>
      <c r="L81" s="17" t="inlineStr">
        <is>
          <t>fact</t>
        </is>
      </c>
    </row>
    <row r="82">
      <c r="A82" s="17" t="inlineStr">
        <is>
          <t>EV-10862bbb8e</t>
        </is>
      </c>
      <c r="B82" s="17" t="inlineStr">
        <is>
          <t>strategic_analysis</t>
        </is>
      </c>
      <c r="C82" s="17" t="inlineStr">
        <is>
          <t>r1</t>
        </is>
      </c>
      <c r="D82" s="18" t="inlineStr">
        <is>
          <t>A matriz GP-01 a GP-11 mapeia onze jobs de gestao de projetos contra vulnerabilidades executivas e controles compensatorios.</t>
        </is>
      </c>
      <c r="E82" s="17" t="inlineStr">
        <is>
          <t>SA-04C</t>
        </is>
      </c>
      <c r="F82" s="17" t="inlineStr">
        <is>
          <t>job_map</t>
        </is>
      </c>
      <c r="G82" s="17" t="inlineStr">
        <is>
          <t>ECO-03</t>
        </is>
      </c>
      <c r="H82" s="17" t="inlineStr">
        <is>
          <t>DOC-C07-002</t>
        </is>
      </c>
      <c r="I82" s="18" t="inlineStr">
        <is>
          <t>DOC-C07-003 traz 11 linhas com colunas Funcao / Capacidade exigida / Vulnerabilidade / Evidencia (B/C/E) / Impacto operacional / Compensacao sistemica / Decisao de produto, de 'Iniciacao e escopo' a 'Capacidade e forecasting'.</t>
        </is>
      </c>
      <c r="J82" s="17" t="inlineStr">
        <is>
          <t>strong</t>
        </is>
      </c>
      <c r="K82" s="17" t="inlineStr">
        <is>
          <t>0.9</t>
        </is>
      </c>
      <c r="L82" s="17" t="inlineStr">
        <is>
          <t>fact</t>
        </is>
      </c>
    </row>
    <row r="83">
      <c r="A83" s="17" t="inlineStr">
        <is>
          <t>EV-7f770343a6</t>
        </is>
      </c>
      <c r="B83" s="17" t="inlineStr">
        <is>
          <t>strategic_analysis</t>
        </is>
      </c>
      <c r="C83" s="17" t="inlineStr">
        <is>
          <t>r1</t>
        </is>
      </c>
      <c r="D83" s="18" t="inlineStr">
        <is>
          <t>A matriz GP-01 a GP-11 mapeia onze jobs de gestao de projetos contra vulnerabilidades executivas e controles compensatorios.</t>
        </is>
      </c>
      <c r="E83" s="17" t="inlineStr">
        <is>
          <t>SA-04C</t>
        </is>
      </c>
      <c r="F83" s="17" t="inlineStr">
        <is>
          <t>job_map</t>
        </is>
      </c>
      <c r="G83" s="17" t="inlineStr">
        <is>
          <t>ECO-03</t>
        </is>
      </c>
      <c r="H83" s="17" t="inlineStr">
        <is>
          <t>DOC-C07-004</t>
        </is>
      </c>
      <c r="I83" s="18" t="inlineStr">
        <is>
          <t>DOC-C07-003 traz 11 linhas com colunas Funcao / Capacidade exigida / Vulnerabilidade / Evidencia (B/C/E) / Impacto operacional / Compensacao sistemica / Decisao de produto, de 'Iniciacao e escopo' a 'Capacidade e forecasting'.</t>
        </is>
      </c>
      <c r="J83" s="17" t="inlineStr">
        <is>
          <t>strong</t>
        </is>
      </c>
      <c r="K83" s="17" t="inlineStr">
        <is>
          <t>0.9</t>
        </is>
      </c>
      <c r="L83" s="17" t="inlineStr">
        <is>
          <t>fact</t>
        </is>
      </c>
    </row>
    <row r="84">
      <c r="A84" s="17" t="inlineStr">
        <is>
          <t>EV-a0b2341696</t>
        </is>
      </c>
      <c r="B84" s="17" t="inlineStr">
        <is>
          <t>strategic_analysis</t>
        </is>
      </c>
      <c r="C84" s="17" t="inlineStr">
        <is>
          <t>r1</t>
        </is>
      </c>
      <c r="D84" s="18" t="inlineStr">
        <is>
          <t>O mecanismo de falha mais forte da matriz e o de execucao sustentada, classificado como evidencia B/C forte.</t>
        </is>
      </c>
      <c r="E84" s="17" t="inlineStr">
        <is>
          <t>SA-04C</t>
        </is>
      </c>
      <c r="F84" s="17" t="inlineStr">
        <is>
          <t>job_pain</t>
        </is>
      </c>
      <c r="G84" s="17" t="inlineStr">
        <is>
          <t>ECO-03</t>
        </is>
      </c>
      <c r="H84" s="17" t="inlineStr">
        <is>
          <t>DOC-C07-003</t>
        </is>
      </c>
      <c r="I84" s="18" t="inlineStr">
        <is>
          <t>GP-06: 'Competicao entre estimulos + duracao -&gt; abandono, fragmentacao ou multiplos trabalhos parcialmente abertos', evidencia 'B/C forte', compensacao 'Modo foco, WIP baixo, fila separada, captura de interrupcoes sem abandonar tarefa atual'.</t>
        </is>
      </c>
      <c r="J84" s="17" t="inlineStr">
        <is>
          <t>strong</t>
        </is>
      </c>
      <c r="K84" s="17" t="inlineStr">
        <is>
          <t>0.85</t>
        </is>
      </c>
      <c r="L84" s="17" t="inlineStr">
        <is>
          <t>fact</t>
        </is>
      </c>
    </row>
    <row r="85">
      <c r="A85" s="17" t="inlineStr">
        <is>
          <t>EV-78ee30f291</t>
        </is>
      </c>
      <c r="B85" s="17" t="inlineStr">
        <is>
          <t>strategic_analysis</t>
        </is>
      </c>
      <c r="C85" s="17" t="inlineStr">
        <is>
          <t>r1</t>
        </is>
      </c>
      <c r="D85" s="18" t="inlineStr">
        <is>
          <t>O mecanismo de falha mais forte da matriz e o de execucao sustentada, classificado como evidencia B/C forte.</t>
        </is>
      </c>
      <c r="E85" s="17" t="inlineStr">
        <is>
          <t>SA-04C</t>
        </is>
      </c>
      <c r="F85" s="17" t="inlineStr">
        <is>
          <t>job_pain</t>
        </is>
      </c>
      <c r="G85" s="17" t="inlineStr">
        <is>
          <t>ECO-03</t>
        </is>
      </c>
      <c r="H85" s="17" t="inlineStr">
        <is>
          <t>DOC-C07-002</t>
        </is>
      </c>
      <c r="I85" s="18" t="inlineStr">
        <is>
          <t>GP-06: 'Competicao entre estimulos + duracao -&gt; abandono, fragmentacao ou multiplos trabalhos parcialmente abertos', evidencia 'B/C forte', compensacao 'Modo foco, WIP baixo, fila separada, captura de interrupcoes sem abandonar tarefa atual'.</t>
        </is>
      </c>
      <c r="J85" s="17" t="inlineStr">
        <is>
          <t>strong</t>
        </is>
      </c>
      <c r="K85" s="17" t="inlineStr">
        <is>
          <t>0.85</t>
        </is>
      </c>
      <c r="L85" s="17" t="inlineStr">
        <is>
          <t>fact</t>
        </is>
      </c>
    </row>
    <row r="86">
      <c r="A86" s="17" t="inlineStr">
        <is>
          <t>EV-16f014f042</t>
        </is>
      </c>
      <c r="B86" s="17" t="inlineStr">
        <is>
          <t>strategic_analysis</t>
        </is>
      </c>
      <c r="C86" s="17" t="inlineStr">
        <is>
          <t>r1</t>
        </is>
      </c>
      <c r="D86" s="18" t="inlineStr">
        <is>
          <t>O job do cliente de servico e declarado como sair com um sistema funcionando em sete dias.</t>
        </is>
      </c>
      <c r="E86" s="17" t="inlineStr">
        <is>
          <t>SA-04C</t>
        </is>
      </c>
      <c r="F86" s="17" t="inlineStr">
        <is>
          <t>job_statement</t>
        </is>
      </c>
      <c r="G86" s="17" t="inlineStr">
        <is>
          <t>ECO-07</t>
        </is>
      </c>
      <c r="H86" s="17" t="inlineStr">
        <is>
          <t>DOC-C09-006</t>
        </is>
      </c>
      <c r="I86" s="18" t="inlineStr">
        <is>
          <t>DOC-C09-006: 'Traga o problema. Em 7 dias, saia com um sistema funcionando'; modelo '1 cliente por semana - 1 projeto - 1 entrega principal - 7 dias'.</t>
        </is>
      </c>
      <c r="J86" s="17" t="inlineStr">
        <is>
          <t>strong</t>
        </is>
      </c>
      <c r="K86" s="17" t="inlineStr">
        <is>
          <t>0.9</t>
        </is>
      </c>
      <c r="L86" s="17" t="inlineStr">
        <is>
          <t>fact</t>
        </is>
      </c>
    </row>
    <row r="87">
      <c r="A87" s="17" t="inlineStr">
        <is>
          <t>EV-0b4ad3178b</t>
        </is>
      </c>
      <c r="B87" s="17" t="inlineStr">
        <is>
          <t>strategic_analysis</t>
        </is>
      </c>
      <c r="C87" s="17" t="inlineStr">
        <is>
          <t>r1</t>
        </is>
      </c>
      <c r="D87" s="18" t="inlineStr">
        <is>
          <t>O job do cliente de servico e declarado como sair com um sistema funcionando em sete dias.</t>
        </is>
      </c>
      <c r="E87" s="17" t="inlineStr">
        <is>
          <t>SA-04C</t>
        </is>
      </c>
      <c r="F87" s="17" t="inlineStr">
        <is>
          <t>job_statement</t>
        </is>
      </c>
      <c r="G87" s="17" t="inlineStr">
        <is>
          <t>ECO-07</t>
        </is>
      </c>
      <c r="H87" s="17" t="inlineStr">
        <is>
          <t>DOC-C05-001</t>
        </is>
      </c>
      <c r="I87" s="18" t="inlineStr">
        <is>
          <t>DOC-C09-006: 'Traga o problema. Em 7 dias, saia com um sistema funcionando'; modelo '1 cliente por semana - 1 projeto - 1 entrega principal - 7 dias'.</t>
        </is>
      </c>
      <c r="J87" s="17" t="inlineStr">
        <is>
          <t>strong</t>
        </is>
      </c>
      <c r="K87" s="17" t="inlineStr">
        <is>
          <t>0.9</t>
        </is>
      </c>
      <c r="L87" s="17" t="inlineStr">
        <is>
          <t>fact</t>
        </is>
      </c>
    </row>
    <row r="88">
      <c r="A88" s="17" t="inlineStr">
        <is>
          <t>EV-4daf8c1f7e</t>
        </is>
      </c>
      <c r="B88" s="17" t="inlineStr">
        <is>
          <t>strategic_analysis</t>
        </is>
      </c>
      <c r="C88" s="17" t="inlineStr">
        <is>
          <t>r1</t>
        </is>
      </c>
      <c r="D88" s="18" t="inlineStr">
        <is>
          <t>Nao existe pesquisa primaria com clientes reais em nenhuma das quatro unidades.</t>
        </is>
      </c>
      <c r="E88" s="17" t="inlineStr">
        <is>
          <t>SA-04D</t>
        </is>
      </c>
      <c r="F88" s="17" t="inlineStr">
        <is>
          <t>primary_research</t>
        </is>
      </c>
      <c r="G88" s="17" t="inlineStr">
        <is>
          <t>ECO-01</t>
        </is>
      </c>
      <c r="H88" s="17" t="inlineStr">
        <is>
          <t>DOC-C07-009</t>
        </is>
      </c>
      <c r="I88" s="18" t="inlineStr">
        <is>
          <t>Dashboard: 'Strict VERIFIED 0'; gaps ICP/Preco/CAC/LTV/PMF/Eficacia todos com closed: false e remaining apontando para validacao com clientes/coorte real; a base tem 240 registros legados, sendo 142 de livro e 98 de documento interno.</t>
        </is>
      </c>
      <c r="J88" s="17" t="inlineStr">
        <is>
          <t>strong</t>
        </is>
      </c>
      <c r="K88" s="17" t="inlineStr">
        <is>
          <t>0.9</t>
        </is>
      </c>
      <c r="L88" s="17" t="inlineStr">
        <is>
          <t>fact</t>
        </is>
      </c>
    </row>
    <row r="89">
      <c r="A89" s="17" t="inlineStr">
        <is>
          <t>EV-37796564cf</t>
        </is>
      </c>
      <c r="B89" s="17" t="inlineStr">
        <is>
          <t>strategic_analysis</t>
        </is>
      </c>
      <c r="C89" s="17" t="inlineStr">
        <is>
          <t>r1</t>
        </is>
      </c>
      <c r="D89" s="18" t="inlineStr">
        <is>
          <t>Nao existe pesquisa primaria com clientes reais em nenhuma das quatro unidades.</t>
        </is>
      </c>
      <c r="E89" s="17" t="inlineStr">
        <is>
          <t>SA-04D</t>
        </is>
      </c>
      <c r="F89" s="17" t="inlineStr">
        <is>
          <t>primary_research</t>
        </is>
      </c>
      <c r="G89" s="17" t="inlineStr">
        <is>
          <t>ECO-01</t>
        </is>
      </c>
      <c r="H89" s="17" t="inlineStr">
        <is>
          <t>DOC-C07-007</t>
        </is>
      </c>
      <c r="I89" s="18" t="inlineStr">
        <is>
          <t>Dashboard: 'Strict VERIFIED 0'; gaps ICP/Preco/CAC/LTV/PMF/Eficacia todos com closed: false e remaining apontando para validacao com clientes/coorte real; a base tem 240 registros legados, sendo 142 de livro e 98 de documento interno.</t>
        </is>
      </c>
      <c r="J89" s="17" t="inlineStr">
        <is>
          <t>strong</t>
        </is>
      </c>
      <c r="K89" s="17" t="inlineStr">
        <is>
          <t>0.9</t>
        </is>
      </c>
      <c r="L89" s="17" t="inlineStr">
        <is>
          <t>fact</t>
        </is>
      </c>
    </row>
    <row r="90">
      <c r="A90" s="17" t="inlineStr">
        <is>
          <t>EV-092352dcac</t>
        </is>
      </c>
      <c r="B90" s="17" t="inlineStr">
        <is>
          <t>strategic_analysis</t>
        </is>
      </c>
      <c r="C90" s="17" t="inlineStr">
        <is>
          <t>r1</t>
        </is>
      </c>
      <c r="D90" s="18" t="inlineStr">
        <is>
          <t>As necessidades explicitas e implicitas do publico estao registradas, mas derivam de documento interno e nao de escuta direta.</t>
        </is>
      </c>
      <c r="E90" s="17" t="inlineStr">
        <is>
          <t>SA-04D</t>
        </is>
      </c>
      <c r="F90" s="17" t="inlineStr">
        <is>
          <t>stated_need</t>
        </is>
      </c>
      <c r="G90" s="17" t="inlineStr">
        <is>
          <t>ECO-02</t>
        </is>
      </c>
      <c r="H90" s="17" t="inlineStr">
        <is>
          <t>DOC-C07-007</t>
        </is>
      </c>
      <c r="I90" s="18" t="inlineStr">
        <is>
          <t>QL-0021: 'necessidades de foco, organizacao e reducao da procrastinacao'; QL-0022: 'validacao nao moral, externalizacao de funcoes executivas e reforcos externos imediatos'; conjunto: 'Documento interno do projeto'.</t>
        </is>
      </c>
      <c r="J90" s="17" t="inlineStr">
        <is>
          <t>moderate</t>
        </is>
      </c>
      <c r="K90" s="17" t="inlineStr">
        <is>
          <t>0.65</t>
        </is>
      </c>
      <c r="L90" s="17" t="inlineStr">
        <is>
          <t>fact</t>
        </is>
      </c>
    </row>
    <row r="91">
      <c r="A91" s="17" t="inlineStr">
        <is>
          <t>EV-46ad69ab22</t>
        </is>
      </c>
      <c r="B91" s="17" t="inlineStr">
        <is>
          <t>strategic_analysis</t>
        </is>
      </c>
      <c r="C91" s="17" t="inlineStr">
        <is>
          <t>r1</t>
        </is>
      </c>
      <c r="D91" s="18" t="inlineStr">
        <is>
          <t>A dor moral (culpa e interpretacao de preguica) e registrada como agravante do problema funcional.</t>
        </is>
      </c>
      <c r="E91" s="17" t="inlineStr">
        <is>
          <t>SA-04D</t>
        </is>
      </c>
      <c r="F91" s="17" t="inlineStr">
        <is>
          <t>emotional_job</t>
        </is>
      </c>
      <c r="G91" s="17" t="inlineStr">
        <is>
          <t>ECO-02</t>
        </is>
      </c>
      <c r="H91" s="17" t="inlineStr">
        <is>
          <t>DOC-C07-007</t>
        </is>
      </c>
      <c r="I91" s="18" t="inlineStr">
        <is>
          <t>QL-0020: 'Culpa e interpretacao de preguica agravam o problema funcional'; QL-0019: 'falha cronica de autorregulacao e funcao executiva, expressa por procrastinacao e abandono apesar de criatividade e hiperfoco'.</t>
        </is>
      </c>
      <c r="J91" s="17" t="inlineStr">
        <is>
          <t>moderate</t>
        </is>
      </c>
      <c r="K91" s="17" t="inlineStr">
        <is>
          <t>0.7</t>
        </is>
      </c>
      <c r="L91" s="17" t="inlineStr">
        <is>
          <t>fact</t>
        </is>
      </c>
    </row>
    <row r="92">
      <c r="A92" s="17" t="inlineStr">
        <is>
          <t>EV-f936de516a</t>
        </is>
      </c>
      <c r="B92" s="17" t="inlineStr">
        <is>
          <t>strategic_analysis</t>
        </is>
      </c>
      <c r="C92" s="17" t="inlineStr">
        <is>
          <t>r1</t>
        </is>
      </c>
      <c r="D92" s="18" t="inlineStr">
        <is>
          <t>Ha estimativas internas de volume de busca por cinco termos-chave, sem metodologia nem data.</t>
        </is>
      </c>
      <c r="E92" s="17" t="inlineStr">
        <is>
          <t>SA-04D</t>
        </is>
      </c>
      <c r="F92" s="17" t="inlineStr">
        <is>
          <t>demand_signal</t>
        </is>
      </c>
      <c r="G92" s="17" t="inlineStr">
        <is>
          <t>ECO-02</t>
        </is>
      </c>
      <c r="H92" s="17" t="inlineStr">
        <is>
          <t>DOC-C07-007</t>
        </is>
      </c>
      <c r="I92" s="18" t="inlineStr">
        <is>
          <t>QT-0154 'TDAH adulto 110.000-140.000 buscas/mes'; QT-0155 'TDAH procrastinacao 18.000-25.000'; QT-0156 'funcoes executivas 12.000-18.000'; QT-0157 'como organizar com TDAH 9.000-15.000'; QT-0158 'planner para TDAH 6.000-10.000'. Observacao: 'metodologia e data da pesquisa nao aparecem na imagem'.</t>
        </is>
      </c>
      <c r="J92" s="17" t="inlineStr">
        <is>
          <t>weak</t>
        </is>
      </c>
      <c r="K92" s="17" t="inlineStr">
        <is>
          <t>0.45</t>
        </is>
      </c>
      <c r="L92" s="17" t="inlineStr">
        <is>
          <t>fact</t>
        </is>
      </c>
    </row>
    <row r="93">
      <c r="A93" s="17" t="inlineStr">
        <is>
          <t>EV-8146c2106f</t>
        </is>
      </c>
      <c r="B93" s="17" t="inlineStr">
        <is>
          <t>strategic_analysis</t>
        </is>
      </c>
      <c r="C93" s="17" t="inlineStr">
        <is>
          <t>r1</t>
        </is>
      </c>
      <c r="D93" s="18" t="inlineStr">
        <is>
          <t>Ha estimativas internas de volume de busca por cinco termos-chave, sem metodologia nem data.</t>
        </is>
      </c>
      <c r="E93" s="17" t="inlineStr">
        <is>
          <t>SA-04D</t>
        </is>
      </c>
      <c r="F93" s="17" t="inlineStr">
        <is>
          <t>demand_signal</t>
        </is>
      </c>
      <c r="G93" s="17" t="inlineStr">
        <is>
          <t>ECO-02</t>
        </is>
      </c>
      <c r="H93" s="17" t="inlineStr">
        <is>
          <t>DOC-C07-009</t>
        </is>
      </c>
      <c r="I93" s="18" t="inlineStr">
        <is>
          <t>QT-0154 'TDAH adulto 110.000-140.000 buscas/mes'; QT-0155 'TDAH procrastinacao 18.000-25.000'; QT-0156 'funcoes executivas 12.000-18.000'; QT-0157 'como organizar com TDAH 9.000-15.000'; QT-0158 'planner para TDAH 6.000-10.000'. Observacao: 'metodologia e data da pesquisa nao aparecem na imagem'.</t>
        </is>
      </c>
      <c r="J93" s="17" t="inlineStr">
        <is>
          <t>weak</t>
        </is>
      </c>
      <c r="K93" s="17" t="inlineStr">
        <is>
          <t>0.45</t>
        </is>
      </c>
      <c r="L93" s="17" t="inlineStr">
        <is>
          <t>fact</t>
        </is>
      </c>
    </row>
    <row r="94">
      <c r="A94" s="17" t="inlineStr">
        <is>
          <t>EV-6185cc13e0</t>
        </is>
      </c>
      <c r="B94" s="17" t="inlineStr">
        <is>
          <t>strategic_analysis</t>
        </is>
      </c>
      <c r="C94" s="17" t="inlineStr">
        <is>
          <t>r1</t>
        </is>
      </c>
      <c r="D94" s="18" t="inlineStr">
        <is>
          <t>Ha dois numeros de contexto de trabalho citados a partir de blog corporativo, com forca de evidencia baixa.</t>
        </is>
      </c>
      <c r="E94" s="17" t="inlineStr">
        <is>
          <t>SA-04D</t>
        </is>
      </c>
      <c r="F94" s="17" t="inlineStr">
        <is>
          <t>behavioral_evidence</t>
        </is>
      </c>
      <c r="G94" s="17" t="inlineStr">
        <is>
          <t>ECO-01</t>
        </is>
      </c>
      <c r="H94" s="17" t="inlineStr">
        <is>
          <t>DOC-C07-007</t>
        </is>
      </c>
      <c r="I94" s="18" t="inlineStr">
        <is>
          <t>QT-000175: '23,0 minutos para recuperar o foco apos notificacao/troca de contexto'; QT-000176: 'intervalo de 2,0 minutos entre notificacoes', ambos fonte 'Toggl (blog corporativo)', publico 'Trabalhadores do conhecimento'.</t>
        </is>
      </c>
      <c r="J94" s="17" t="inlineStr">
        <is>
          <t>weak</t>
        </is>
      </c>
      <c r="K94" s="17" t="inlineStr">
        <is>
          <t>0.45</t>
        </is>
      </c>
      <c r="L94" s="17" t="inlineStr">
        <is>
          <t>fact</t>
        </is>
      </c>
    </row>
    <row r="95">
      <c r="A95" s="17" t="inlineStr">
        <is>
          <t>EV-d59b36932e</t>
        </is>
      </c>
      <c r="B95" s="17" t="inlineStr">
        <is>
          <t>strategic_analysis</t>
        </is>
      </c>
      <c r="C95" s="17" t="inlineStr">
        <is>
          <t>r1</t>
        </is>
      </c>
      <c r="D95" s="18" t="inlineStr">
        <is>
          <t>O termo cognitive risk ja possui anterioridade publicada, e o acervo registra isso explicitamente.</t>
        </is>
      </c>
      <c r="E95" s="17" t="inlineStr">
        <is>
          <t>SA-05</t>
        </is>
      </c>
      <c r="F95" s="17" t="inlineStr">
        <is>
          <t>prior_art</t>
        </is>
      </c>
      <c r="G95" s="17" t="inlineStr">
        <is>
          <t>ECO-03</t>
        </is>
      </c>
      <c r="H95" s="17" t="inlineStr">
        <is>
          <t>DOC-C02-030</t>
        </is>
      </c>
      <c r="I95" s="18" t="inlineStr">
        <is>
          <t>RC-TERM-007 aponta o livro 'Cognitive Risk' (Bone &amp; Lee, Routledge) e RC-TERM-008 o capitulo 'Managing Cognitive Risk' (Emerald) como STATUS ANTERIORIDADE; guardrail: 'Nao reivindicar autoria do termo'.</t>
        </is>
      </c>
      <c r="J95" s="17" t="inlineStr">
        <is>
          <t>strong</t>
        </is>
      </c>
      <c r="K95" s="17" t="inlineStr">
        <is>
          <t>0.9</t>
        </is>
      </c>
      <c r="L95" s="17" t="inlineStr">
        <is>
          <t>fact</t>
        </is>
      </c>
    </row>
    <row r="96">
      <c r="A96" s="17" t="inlineStr">
        <is>
          <t>EV-692e07a753</t>
        </is>
      </c>
      <c r="B96" s="17" t="inlineStr">
        <is>
          <t>strategic_analysis</t>
        </is>
      </c>
      <c r="C96" s="17" t="inlineStr">
        <is>
          <t>r1</t>
        </is>
      </c>
      <c r="D96" s="18" t="inlineStr">
        <is>
          <t>O termo cognitive risk ja possui anterioridade publicada, e o acervo registra isso explicitamente.</t>
        </is>
      </c>
      <c r="E96" s="17" t="inlineStr">
        <is>
          <t>SA-05</t>
        </is>
      </c>
      <c r="F96" s="17" t="inlineStr">
        <is>
          <t>prior_art</t>
        </is>
      </c>
      <c r="G96" s="17" t="inlineStr">
        <is>
          <t>ECO-03</t>
        </is>
      </c>
      <c r="H96" s="17" t="inlineStr">
        <is>
          <t>DOC-C02-022</t>
        </is>
      </c>
      <c r="I96" s="18" t="inlineStr">
        <is>
          <t>RC-TERM-007 aponta o livro 'Cognitive Risk' (Bone &amp; Lee, Routledge) e RC-TERM-008 o capitulo 'Managing Cognitive Risk' (Emerald) como STATUS ANTERIORIDADE; guardrail: 'Nao reivindicar autoria do termo'.</t>
        </is>
      </c>
      <c r="J96" s="17" t="inlineStr">
        <is>
          <t>strong</t>
        </is>
      </c>
      <c r="K96" s="17" t="inlineStr">
        <is>
          <t>0.9</t>
        </is>
      </c>
      <c r="L96" s="17" t="inlineStr">
        <is>
          <t>fact</t>
        </is>
      </c>
    </row>
    <row r="97">
      <c r="A97" s="17" t="inlineStr">
        <is>
          <t>EV-10399ea92d</t>
        </is>
      </c>
      <c r="B97" s="17" t="inlineStr">
        <is>
          <t>strategic_analysis</t>
        </is>
      </c>
      <c r="C97" s="17" t="inlineStr">
        <is>
          <t>r1</t>
        </is>
      </c>
      <c r="D97" s="18" t="inlineStr">
        <is>
          <t>O whitespace declarado e a integracao perfil executivo -&gt; demanda cognitiva -&gt; falha -&gt; probabilidade/impacto -&gt; controle -&gt; evidencia, aplicada a projetos e neurodivergencia.</t>
        </is>
      </c>
      <c r="E97" s="17" t="inlineStr">
        <is>
          <t>SA-05</t>
        </is>
      </c>
      <c r="F97" s="17" t="inlineStr">
        <is>
          <t>whitespace</t>
        </is>
      </c>
      <c r="G97" s="17" t="inlineStr">
        <is>
          <t>ECO-03</t>
        </is>
      </c>
      <c r="H97" s="17" t="inlineStr">
        <is>
          <t>DOC-C02-031</t>
        </is>
      </c>
      <c r="I97" s="18" t="inlineStr">
        <is>
          <t>DOC-C02-031, item 3: 'Nao foi identificado, nesta rodada, um framework consolidado que una explicitamente: perfil executivo individual -&gt; demanda cognitiva da tarefa -&gt; evento provavel de falha -&gt; probabilidade/impacto -&gt; controle compensatorio -&gt; evidencia de execucao'.</t>
        </is>
      </c>
      <c r="J97" s="17" t="inlineStr">
        <is>
          <t>strong</t>
        </is>
      </c>
      <c r="K97" s="17" t="inlineStr">
        <is>
          <t>0.85</t>
        </is>
      </c>
      <c r="L97" s="17" t="inlineStr">
        <is>
          <t>fact</t>
        </is>
      </c>
    </row>
    <row r="98">
      <c r="A98" s="17" t="inlineStr">
        <is>
          <t>EV-f5dfa2ab27</t>
        </is>
      </c>
      <c r="B98" s="17" t="inlineStr">
        <is>
          <t>strategic_analysis</t>
        </is>
      </c>
      <c r="C98" s="17" t="inlineStr">
        <is>
          <t>r1</t>
        </is>
      </c>
      <c r="D98" s="18" t="inlineStr">
        <is>
          <t>O whitespace declarado e a integracao perfil executivo -&gt; demanda cognitiva -&gt; falha -&gt; probabilidade/impacto -&gt; controle -&gt; evidencia, aplicada a projetos e neurodivergencia.</t>
        </is>
      </c>
      <c r="E98" s="17" t="inlineStr">
        <is>
          <t>SA-05</t>
        </is>
      </c>
      <c r="F98" s="17" t="inlineStr">
        <is>
          <t>whitespace</t>
        </is>
      </c>
      <c r="G98" s="17" t="inlineStr">
        <is>
          <t>ECO-03</t>
        </is>
      </c>
      <c r="H98" s="17" t="inlineStr">
        <is>
          <t>DOC-C02-016</t>
        </is>
      </c>
      <c r="I98" s="18" t="inlineStr">
        <is>
          <t>DOC-C02-031, item 3: 'Nao foi identificado, nesta rodada, um framework consolidado que una explicitamente: perfil executivo individual -&gt; demanda cognitiva da tarefa -&gt; evento provavel de falha -&gt; probabilidade/impacto -&gt; controle compensatorio -&gt; evidencia de execucao'.</t>
        </is>
      </c>
      <c r="J98" s="17" t="inlineStr">
        <is>
          <t>strong</t>
        </is>
      </c>
      <c r="K98" s="17" t="inlineStr">
        <is>
          <t>0.85</t>
        </is>
      </c>
      <c r="L98" s="17" t="inlineStr">
        <is>
          <t>fact</t>
        </is>
      </c>
    </row>
    <row r="99">
      <c r="A99" s="17" t="inlineStr">
        <is>
          <t>EV-08608d69a6</t>
        </is>
      </c>
      <c r="B99" s="17" t="inlineStr">
        <is>
          <t>strategic_analysis</t>
        </is>
      </c>
      <c r="C99" s="17" t="inlineStr">
        <is>
          <t>r1</t>
        </is>
      </c>
      <c r="D99" s="18" t="inlineStr">
        <is>
          <t>Tratar a ausencia de framework equivalente como prova de ineditismo e registrado como risco de credibilidade pelo proprio acervo.</t>
        </is>
      </c>
      <c r="E99" s="17" t="inlineStr">
        <is>
          <t>SA-05</t>
        </is>
      </c>
      <c r="F99" s="17" t="inlineStr">
        <is>
          <t>whitespace_risk</t>
        </is>
      </c>
      <c r="G99" s="17" t="inlineStr">
        <is>
          <t>ECO-03</t>
        </is>
      </c>
      <c r="H99" s="17" t="inlineStr">
        <is>
          <t>DOC-C02-031</t>
        </is>
      </c>
      <c r="I99" s="18" t="inlineStr">
        <is>
          <t>DOC-C02-031, item 4: 'Nao encontramos nao significa nao existe'; DOC-C02-039 (Riscos): 'Tratar a ausencia de um framework equivalente nas buscas como prova de ineditismo pode comprometer a credibilidade cientifica e estrategica da proposta'.</t>
        </is>
      </c>
      <c r="J99" s="17" t="inlineStr">
        <is>
          <t>strong</t>
        </is>
      </c>
      <c r="K99" s="17" t="inlineStr">
        <is>
          <t>0.9</t>
        </is>
      </c>
      <c r="L99" s="17" t="inlineStr">
        <is>
          <t>fact</t>
        </is>
      </c>
    </row>
    <row r="100">
      <c r="A100" s="17" t="inlineStr">
        <is>
          <t>EV-2449eee931</t>
        </is>
      </c>
      <c r="B100" s="17" t="inlineStr">
        <is>
          <t>strategic_analysis</t>
        </is>
      </c>
      <c r="C100" s="17" t="inlineStr">
        <is>
          <t>r1</t>
        </is>
      </c>
      <c r="D100" s="18" t="inlineStr">
        <is>
          <t>Tratar a ausencia de framework equivalente como prova de ineditismo e registrado como risco de credibilidade pelo proprio acervo.</t>
        </is>
      </c>
      <c r="E100" s="17" t="inlineStr">
        <is>
          <t>SA-05</t>
        </is>
      </c>
      <c r="F100" s="17" t="inlineStr">
        <is>
          <t>whitespace_risk</t>
        </is>
      </c>
      <c r="G100" s="17" t="inlineStr">
        <is>
          <t>ECO-03</t>
        </is>
      </c>
      <c r="H100" s="17" t="inlineStr">
        <is>
          <t>DOC-C02-039</t>
        </is>
      </c>
      <c r="I100" s="18" t="inlineStr">
        <is>
          <t>DOC-C02-031, item 4: 'Nao encontramos nao significa nao existe'; DOC-C02-039 (Riscos): 'Tratar a ausencia de um framework equivalente nas buscas como prova de ineditismo pode comprometer a credibilidade cientifica e estrategica da proposta'.</t>
        </is>
      </c>
      <c r="J100" s="17" t="inlineStr">
        <is>
          <t>strong</t>
        </is>
      </c>
      <c r="K100" s="17" t="inlineStr">
        <is>
          <t>0.9</t>
        </is>
      </c>
      <c r="L100" s="17" t="inlineStr">
        <is>
          <t>fact</t>
        </is>
      </c>
    </row>
    <row r="101">
      <c r="A101" s="17" t="inlineStr">
        <is>
          <t>EV-a8bd8f974c</t>
        </is>
      </c>
      <c r="B101" s="17" t="inlineStr">
        <is>
          <t>strategic_analysis</t>
        </is>
      </c>
      <c r="C101" s="17" t="inlineStr">
        <is>
          <t>r1</t>
        </is>
      </c>
      <c r="D101" s="18" t="inlineStr">
        <is>
          <t>Tratar a ausencia de framework equivalente como prova de ineditismo e registrado como risco de credibilidade pelo proprio acervo.</t>
        </is>
      </c>
      <c r="E101" s="17" t="inlineStr">
        <is>
          <t>SA-05</t>
        </is>
      </c>
      <c r="F101" s="17" t="inlineStr">
        <is>
          <t>whitespace_risk</t>
        </is>
      </c>
      <c r="G101" s="17" t="inlineStr">
        <is>
          <t>ECO-03</t>
        </is>
      </c>
      <c r="H101" s="17" t="inlineStr">
        <is>
          <t>DOC-C02-043</t>
        </is>
      </c>
      <c r="I101" s="18" t="inlineStr">
        <is>
          <t>DOC-C02-031, item 4: 'Nao encontramos nao significa nao existe'; DOC-C02-039 (Riscos): 'Tratar a ausencia de um framework equivalente nas buscas como prova de ineditismo pode comprometer a credibilidade cientifica e estrategica da proposta'.</t>
        </is>
      </c>
      <c r="J101" s="17" t="inlineStr">
        <is>
          <t>strong</t>
        </is>
      </c>
      <c r="K101" s="17" t="inlineStr">
        <is>
          <t>0.9</t>
        </is>
      </c>
      <c r="L101" s="17" t="inlineStr">
        <is>
          <t>fact</t>
        </is>
      </c>
    </row>
    <row r="102">
      <c r="A102" s="17" t="inlineStr">
        <is>
          <t>EV-754df25bf5</t>
        </is>
      </c>
      <c r="B102" s="17" t="inlineStr">
        <is>
          <t>strategic_analysis</t>
        </is>
      </c>
      <c r="C102" s="17" t="inlineStr">
        <is>
          <t>r1</t>
        </is>
      </c>
      <c r="D102" s="18" t="inlineStr">
        <is>
          <t>O acervo estima receita anual de R$595-654 mil para o concorrente TDAH Descomplicado, sem fonte resolvida.</t>
        </is>
      </c>
      <c r="E102" s="17" t="inlineStr">
        <is>
          <t>SA-05</t>
        </is>
      </c>
      <c r="F102" s="17" t="inlineStr">
        <is>
          <t>competitor_benchmark</t>
        </is>
      </c>
      <c r="G102" s="17" t="inlineStr">
        <is>
          <t>ECO-02</t>
        </is>
      </c>
      <c r="H102" s="17" t="inlineStr">
        <is>
          <t>DOC-C07-007</t>
        </is>
      </c>
      <c r="I102" s="18" t="inlineStr">
        <is>
          <t>QT-0145: 'Receita anual estimada do concorrente TDAH Descomplicado, 595000.0-654000.0 R$/ano', 'Requer validacao na referencia original', bibliografia [2][4] ausente do material.</t>
        </is>
      </c>
      <c r="J102" s="17" t="inlineStr">
        <is>
          <t>weak</t>
        </is>
      </c>
      <c r="K102" s="17" t="inlineStr">
        <is>
          <t>0.4</t>
        </is>
      </c>
      <c r="L102" s="17" t="inlineStr">
        <is>
          <t>fact</t>
        </is>
      </c>
    </row>
    <row r="103">
      <c r="A103" s="17" t="inlineStr">
        <is>
          <t>EV-2607b962c6</t>
        </is>
      </c>
      <c r="B103" s="17" t="inlineStr">
        <is>
          <t>strategic_analysis</t>
        </is>
      </c>
      <c r="C103" s="17" t="inlineStr">
        <is>
          <t>r1</t>
        </is>
      </c>
      <c r="D103" s="18" t="inlineStr">
        <is>
          <t>O acervo estima receita anual de R$595-654 mil para o concorrente TDAH Descomplicado, sem fonte resolvida.</t>
        </is>
      </c>
      <c r="E103" s="17" t="inlineStr">
        <is>
          <t>SA-05</t>
        </is>
      </c>
      <c r="F103" s="17" t="inlineStr">
        <is>
          <t>competitor_benchmark</t>
        </is>
      </c>
      <c r="G103" s="17" t="inlineStr">
        <is>
          <t>ECO-02</t>
        </is>
      </c>
      <c r="H103" s="17" t="inlineStr">
        <is>
          <t>DOC-C07-009</t>
        </is>
      </c>
      <c r="I103" s="18" t="inlineStr">
        <is>
          <t>QT-0145: 'Receita anual estimada do concorrente TDAH Descomplicado, 595000.0-654000.0 R$/ano', 'Requer validacao na referencia original', bibliografia [2][4] ausente do material.</t>
        </is>
      </c>
      <c r="J103" s="17" t="inlineStr">
        <is>
          <t>weak</t>
        </is>
      </c>
      <c r="K103" s="17" t="inlineStr">
        <is>
          <t>0.4</t>
        </is>
      </c>
      <c r="L103" s="17" t="inlineStr">
        <is>
          <t>fact</t>
        </is>
      </c>
    </row>
    <row r="104">
      <c r="A104" s="17" t="inlineStr">
        <is>
          <t>EV-87698fad36</t>
        </is>
      </c>
      <c r="B104" s="17" t="inlineStr">
        <is>
          <t>strategic_analysis</t>
        </is>
      </c>
      <c r="C104" s="17" t="inlineStr">
        <is>
          <t>r1</t>
        </is>
      </c>
      <c r="D104" s="18" t="inlineStr">
        <is>
          <t>A lacuna competitiva hipotetizada e que concorrentes seriam fortes em sintomas e medicacao e fracos em aplicacao pratica.</t>
        </is>
      </c>
      <c r="E104" s="17" t="inlineStr">
        <is>
          <t>SA-05</t>
        </is>
      </c>
      <c r="F104" s="17" t="inlineStr">
        <is>
          <t>competitive_gap</t>
        </is>
      </c>
      <c r="G104" s="17" t="inlineStr">
        <is>
          <t>ECO-02</t>
        </is>
      </c>
      <c r="H104" s="17" t="inlineStr">
        <is>
          <t>DOC-C07-007</t>
        </is>
      </c>
      <c r="I104" s="18" t="inlineStr">
        <is>
          <t>QL-0026: 'Concorrentes seriam mais fortes em sintomas e medicacao do que em aplicacao pratica e desempenho'; recomendacao da propria fonte: 'Validar a lacuna por auditoria de conteudo e entrevistas, antes de assumir oceano azul'.</t>
        </is>
      </c>
      <c r="J104" s="17" t="inlineStr">
        <is>
          <t>moderate</t>
        </is>
      </c>
      <c r="K104" s="17" t="inlineStr">
        <is>
          <t>0.65</t>
        </is>
      </c>
      <c r="L104" s="17" t="inlineStr">
        <is>
          <t>hypothesis</t>
        </is>
      </c>
    </row>
    <row r="105">
      <c r="A105" s="17" t="inlineStr">
        <is>
          <t>EV-2cd94152c6</t>
        </is>
      </c>
      <c r="B105" s="17" t="inlineStr">
        <is>
          <t>strategic_analysis</t>
        </is>
      </c>
      <c r="C105" s="17" t="inlineStr">
        <is>
          <t>r1</t>
        </is>
      </c>
      <c r="D105" s="18" t="inlineStr">
        <is>
          <t>Dark patterns em apps de produtividade sao registrados como fator negativo de confianca, criando espaco de diferenciacao etica.</t>
        </is>
      </c>
      <c r="E105" s="17" t="inlineStr">
        <is>
          <t>SA-05</t>
        </is>
      </c>
      <c r="F105" s="17" t="inlineStr">
        <is>
          <t>competitive_practice</t>
        </is>
      </c>
      <c r="G105" s="17" t="inlineStr">
        <is>
          <t>ECO-01</t>
        </is>
      </c>
      <c r="H105" s="17" t="inlineStr">
        <is>
          <t>DOC-C07-007</t>
        </is>
      </c>
      <c r="I105" s="18" t="inlineStr">
        <is>
          <t>QL-000050: 'Padroes de design enganoso (dificuldade para cancelar assinatura, inducao de culpa, continuidade forcada) sao apontados como prejudiciais a confianca do usuario em aplicativos de produtividade'.</t>
        </is>
      </c>
      <c r="J105" s="17" t="inlineStr">
        <is>
          <t>moderate</t>
        </is>
      </c>
      <c r="K105" s="17" t="inlineStr">
        <is>
          <t>0.7</t>
        </is>
      </c>
      <c r="L105" s="17" t="inlineStr">
        <is>
          <t>fact</t>
        </is>
      </c>
    </row>
    <row r="106">
      <c r="A106" s="17" t="inlineStr">
        <is>
          <t>EV-d03309a5b5</t>
        </is>
      </c>
      <c r="B106" s="17" t="inlineStr">
        <is>
          <t>strategic_analysis</t>
        </is>
      </c>
      <c r="C106" s="17" t="inlineStr">
        <is>
          <t>r1</t>
        </is>
      </c>
      <c r="D106" s="18" t="inlineStr">
        <is>
          <t>O ecossistema declara seis fontes de receita distintas ligadas por um registro unico de CTAs.</t>
        </is>
      </c>
      <c r="E106" s="17" t="inlineStr">
        <is>
          <t>SA-06A</t>
        </is>
      </c>
      <c r="F106" s="17" t="inlineStr">
        <is>
          <t>revenue_streams</t>
        </is>
      </c>
      <c r="G106" s="17" t="inlineStr">
        <is>
          <t>ECO-01</t>
        </is>
      </c>
      <c r="H106" s="17" t="inlineStr">
        <is>
          <t>DOC-C06-001</t>
        </is>
      </c>
      <c r="I106" s="18" t="inlineStr">
        <is>
          <t>CTA Registry (DOC-C06-001): CTA-001 App, CTA-004 E-book, CTA-005 Curso, CTA-006 Studio (servico), CTA-007 Amazon Affiliate, CTA-009 Office Kit (fisico), alem de CTA-003 Biblioteca e CTA-008/010 captacao de lead.</t>
        </is>
      </c>
      <c r="J106" s="17" t="inlineStr">
        <is>
          <t>strong</t>
        </is>
      </c>
      <c r="K106" s="17" t="inlineStr">
        <is>
          <t>0.9</t>
        </is>
      </c>
      <c r="L106" s="17" t="inlineStr">
        <is>
          <t>fact</t>
        </is>
      </c>
    </row>
    <row r="107">
      <c r="A107" s="17" t="inlineStr">
        <is>
          <t>EV-fa58258692</t>
        </is>
      </c>
      <c r="B107" s="17" t="inlineStr">
        <is>
          <t>strategic_analysis</t>
        </is>
      </c>
      <c r="C107" s="17" t="inlineStr">
        <is>
          <t>r1</t>
        </is>
      </c>
      <c r="D107" s="18" t="inlineStr">
        <is>
          <t>O ecossistema declara seis fontes de receita distintas ligadas por um registro unico de CTAs.</t>
        </is>
      </c>
      <c r="E107" s="17" t="inlineStr">
        <is>
          <t>SA-06A</t>
        </is>
      </c>
      <c r="F107" s="17" t="inlineStr">
        <is>
          <t>revenue_streams</t>
        </is>
      </c>
      <c r="G107" s="17" t="inlineStr">
        <is>
          <t>ECO-01</t>
        </is>
      </c>
      <c r="H107" s="17" t="inlineStr">
        <is>
          <t>DOC-C05-001</t>
        </is>
      </c>
      <c r="I107" s="18" t="inlineStr">
        <is>
          <t>CTA Registry (DOC-C06-001): CTA-001 App, CTA-004 E-book, CTA-005 Curso, CTA-006 Studio (servico), CTA-007 Amazon Affiliate, CTA-009 Office Kit (fisico), alem de CTA-003 Biblioteca e CTA-008/010 captacao de lead.</t>
        </is>
      </c>
      <c r="J107" s="17" t="inlineStr">
        <is>
          <t>strong</t>
        </is>
      </c>
      <c r="K107" s="17" t="inlineStr">
        <is>
          <t>0.9</t>
        </is>
      </c>
      <c r="L107" s="17" t="inlineStr">
        <is>
          <t>fact</t>
        </is>
      </c>
    </row>
    <row r="108">
      <c r="A108" s="17" t="inlineStr">
        <is>
          <t>EV-3309c6cab3</t>
        </is>
      </c>
      <c r="B108" s="17" t="inlineStr">
        <is>
          <t>strategic_analysis</t>
        </is>
      </c>
      <c r="C108" s="17" t="inlineStr">
        <is>
          <t>r1</t>
        </is>
      </c>
      <c r="D108" s="18" t="inlineStr">
        <is>
          <t>O material posiciona infoprodutos como motor de margem e produtos fisicos como retencao e marca.</t>
        </is>
      </c>
      <c r="E108" s="17" t="inlineStr">
        <is>
          <t>SA-06A</t>
        </is>
      </c>
      <c r="F108" s="17" t="inlineStr">
        <is>
          <t>margin_pool</t>
        </is>
      </c>
      <c r="G108" s="17" t="inlineStr">
        <is>
          <t>ECO-01</t>
        </is>
      </c>
      <c r="H108" s="17" t="inlineStr">
        <is>
          <t>DOC-C07-007</t>
        </is>
      </c>
      <c r="I108" s="18" t="inlineStr">
        <is>
          <t>QL-0039: 'Infoprodutos sao propostos como motor de margem e produtos fisicos como retencao e marca'; QT-0148: 'Margem bruta de infoprodutos 83,0% ou mais'; QT-0151: 'Preco sugerido de produto fisico premium 350,0 R$ ou mais'.</t>
        </is>
      </c>
      <c r="J108" s="17" t="inlineStr">
        <is>
          <t>weak</t>
        </is>
      </c>
      <c r="K108" s="17" t="inlineStr">
        <is>
          <t>0.5</t>
        </is>
      </c>
      <c r="L108" s="17" t="inlineStr">
        <is>
          <t>fact</t>
        </is>
      </c>
    </row>
    <row r="109">
      <c r="A109" s="17" t="inlineStr">
        <is>
          <t>EV-db5063f483</t>
        </is>
      </c>
      <c r="B109" s="17" t="inlineStr">
        <is>
          <t>strategic_analysis</t>
        </is>
      </c>
      <c r="C109" s="17" t="inlineStr">
        <is>
          <t>r1</t>
        </is>
      </c>
      <c r="D109" s="18" t="inlineStr">
        <is>
          <t>O material posiciona infoprodutos como motor de margem e produtos fisicos como retencao e marca.</t>
        </is>
      </c>
      <c r="E109" s="17" t="inlineStr">
        <is>
          <t>SA-06A</t>
        </is>
      </c>
      <c r="F109" s="17" t="inlineStr">
        <is>
          <t>margin_pool</t>
        </is>
      </c>
      <c r="G109" s="17" t="inlineStr">
        <is>
          <t>ECO-01</t>
        </is>
      </c>
      <c r="H109" s="17" t="inlineStr">
        <is>
          <t>DOC-C07-009</t>
        </is>
      </c>
      <c r="I109" s="18" t="inlineStr">
        <is>
          <t>QL-0039: 'Infoprodutos sao propostos como motor de margem e produtos fisicos como retencao e marca'; QT-0148: 'Margem bruta de infoprodutos 83,0% ou mais'; QT-0151: 'Preco sugerido de produto fisico premium 350,0 R$ ou mais'.</t>
        </is>
      </c>
      <c r="J109" s="17" t="inlineStr">
        <is>
          <t>weak</t>
        </is>
      </c>
      <c r="K109" s="17" t="inlineStr">
        <is>
          <t>0.5</t>
        </is>
      </c>
      <c r="L109" s="17" t="inlineStr">
        <is>
          <t>fact</t>
        </is>
      </c>
    </row>
    <row r="110">
      <c r="A110" s="17" t="inlineStr">
        <is>
          <t>EV-196c7ae12c</t>
        </is>
      </c>
      <c r="B110" s="17" t="inlineStr">
        <is>
          <t>strategic_analysis</t>
        </is>
      </c>
      <c r="C110" s="17" t="inlineStr">
        <is>
          <t>r1</t>
        </is>
      </c>
      <c r="D110" s="18" t="inlineStr">
        <is>
          <t>A monetizacao por afiliados esta desenhada como camada editorial com comissao de 10% em livros na Amazon.</t>
        </is>
      </c>
      <c r="E110" s="17" t="inlineStr">
        <is>
          <t>SA-06A</t>
        </is>
      </c>
      <c r="F110" s="17" t="inlineStr">
        <is>
          <t>affiliate_pool</t>
        </is>
      </c>
      <c r="G110" s="17" t="inlineStr">
        <is>
          <t>ECO-02</t>
        </is>
      </c>
      <c r="H110" s="17" t="inlineStr">
        <is>
          <t>DOC-C05-001</t>
        </is>
      </c>
      <c r="I110" s="18" t="inlineStr">
        <is>
          <t>DOC-C05-001, Macro 01: 'A tabela padrao atual informa 10% para livros e livros digitais em compras qualificadas'; AF-04: 'Recomendacao editorial primeiro; monetizacao depois'; biblioteca inicial BK-01/02/03 (Barkley, Ana Beatriz Silva, Barkley EF).</t>
        </is>
      </c>
      <c r="J110" s="17" t="inlineStr">
        <is>
          <t>strong</t>
        </is>
      </c>
      <c r="K110" s="17" t="inlineStr">
        <is>
          <t>0.85</t>
        </is>
      </c>
      <c r="L110" s="17" t="inlineStr">
        <is>
          <t>fact</t>
        </is>
      </c>
    </row>
    <row r="111">
      <c r="A111" s="17" t="inlineStr">
        <is>
          <t>EV-3c3a78fe44</t>
        </is>
      </c>
      <c r="B111" s="17" t="inlineStr">
        <is>
          <t>strategic_analysis</t>
        </is>
      </c>
      <c r="C111" s="17" t="inlineStr">
        <is>
          <t>r1</t>
        </is>
      </c>
      <c r="D111" s="18" t="inlineStr">
        <is>
          <t>Ha conflito registrado sobre a alocacao da receita de AdSense ao braco social.</t>
        </is>
      </c>
      <c r="E111" s="17" t="inlineStr">
        <is>
          <t>SA-06A</t>
        </is>
      </c>
      <c r="F111" s="17" t="inlineStr">
        <is>
          <t>revenue_conflict</t>
        </is>
      </c>
      <c r="G111" s="17" t="inlineStr">
        <is>
          <t>ECO-02</t>
        </is>
      </c>
      <c r="H111" s="17" t="inlineStr">
        <is>
          <t>DOC-C07-007</t>
        </is>
      </c>
      <c r="I111" s="18" t="inlineStr">
        <is>
          <t>QT-0152: 'Alocacao de AdSense inicialmente cogitada 70,0% da receita'; QT-0153: 'Alocacao inicial recomendada 10,0%'; QL-0016: '70% ... e considerada incompativel com reinvestimento e consistencia operacional'.</t>
        </is>
      </c>
      <c r="J111" s="17" t="inlineStr">
        <is>
          <t>moderate</t>
        </is>
      </c>
      <c r="K111" s="17" t="inlineStr">
        <is>
          <t>0.75</t>
        </is>
      </c>
      <c r="L111" s="17" t="inlineStr">
        <is>
          <t>conflict</t>
        </is>
      </c>
    </row>
    <row r="112">
      <c r="A112" s="17" t="inlineStr">
        <is>
          <t>EV-5ce6baf077</t>
        </is>
      </c>
      <c r="B112" s="17" t="inlineStr">
        <is>
          <t>strategic_analysis</t>
        </is>
      </c>
      <c r="C112" s="17" t="inlineStr">
        <is>
          <t>r1</t>
        </is>
      </c>
      <c r="D112" s="18" t="inlineStr">
        <is>
          <t>Ha conflito registrado sobre a alocacao da receita de AdSense ao braco social.</t>
        </is>
      </c>
      <c r="E112" s="17" t="inlineStr">
        <is>
          <t>SA-06A</t>
        </is>
      </c>
      <c r="F112" s="17" t="inlineStr">
        <is>
          <t>revenue_conflict</t>
        </is>
      </c>
      <c r="G112" s="17" t="inlineStr">
        <is>
          <t>ECO-02</t>
        </is>
      </c>
      <c r="H112" s="17" t="inlineStr">
        <is>
          <t>DOC-C07-009</t>
        </is>
      </c>
      <c r="I112" s="18" t="inlineStr">
        <is>
          <t>QT-0152: 'Alocacao de AdSense inicialmente cogitada 70,0% da receita'; QT-0153: 'Alocacao inicial recomendada 10,0%'; QL-0016: '70% ... e considerada incompativel com reinvestimento e consistencia operacional'.</t>
        </is>
      </c>
      <c r="J112" s="17" t="inlineStr">
        <is>
          <t>moderate</t>
        </is>
      </c>
      <c r="K112" s="17" t="inlineStr">
        <is>
          <t>0.75</t>
        </is>
      </c>
      <c r="L112" s="17" t="inlineStr">
        <is>
          <t>conflict</t>
        </is>
      </c>
    </row>
    <row r="113">
      <c r="A113" s="17" t="inlineStr">
        <is>
          <t>EV-cc0bd1e3d4</t>
        </is>
      </c>
      <c r="B113" s="17" t="inlineStr">
        <is>
          <t>strategic_analysis</t>
        </is>
      </c>
      <c r="C113" s="17" t="inlineStr">
        <is>
          <t>r1</t>
        </is>
      </c>
      <c r="D113" s="18" t="inlineStr">
        <is>
          <t>O modelo economico do app e integralmente hipotetico: ARPU, margem e churn sao premissas, nao observacoes.</t>
        </is>
      </c>
      <c r="E113" s="17" t="inlineStr">
        <is>
          <t>SA-06B</t>
        </is>
      </c>
      <c r="F113" s="17" t="inlineStr">
        <is>
          <t>unit_economics</t>
        </is>
      </c>
      <c r="G113" s="17" t="inlineStr">
        <is>
          <t>ECO-01</t>
        </is>
      </c>
      <c r="H113" s="17" t="inlineStr">
        <is>
          <t>DOC-C07-009</t>
        </is>
      </c>
      <c r="I113" s="18" t="inlineStr">
        <is>
          <t>unit_economics.status: 'MODEL_HYPOTHESIS_NOT_OBSERVED'; cenarios: churn 10%/15%/20% -&gt; LTV R$424 / R$282,77 / R$212 e CAC maximo para LTV:CAC=3 de R$141 / R$94 / R$71, com ARPU R$49,90 e margem bruta 85%.</t>
        </is>
      </c>
      <c r="J113" s="17" t="inlineStr">
        <is>
          <t>strong</t>
        </is>
      </c>
      <c r="K113" s="17" t="inlineStr">
        <is>
          <t>0.9</t>
        </is>
      </c>
      <c r="L113" s="17" t="inlineStr">
        <is>
          <t>fact</t>
        </is>
      </c>
    </row>
    <row r="114">
      <c r="A114" s="17" t="inlineStr">
        <is>
          <t>EV-ce2c827e52</t>
        </is>
      </c>
      <c r="B114" s="17" t="inlineStr">
        <is>
          <t>strategic_analysis</t>
        </is>
      </c>
      <c r="C114" s="17" t="inlineStr">
        <is>
          <t>r1</t>
        </is>
      </c>
      <c r="D114" s="18" t="inlineStr">
        <is>
          <t>O guardrail de CAC e R$70 (conservador) com alerta em aproximadamente R$95, e a fonte distingue CAC de metricas intermediarias.</t>
        </is>
      </c>
      <c r="E114" s="17" t="inlineStr">
        <is>
          <t>SA-06B</t>
        </is>
      </c>
      <c r="F114" s="17" t="inlineStr">
        <is>
          <t>cac_guardrail</t>
        </is>
      </c>
      <c r="G114" s="17" t="inlineStr">
        <is>
          <t>ECO-01</t>
        </is>
      </c>
      <c r="H114" s="17" t="inlineStr">
        <is>
          <t>DOC-C07-009</t>
        </is>
      </c>
      <c r="I114" s="18" t="inlineStr">
        <is>
          <t>Decisao CAC-01 e painel: 'CAC observado = gasto atribuivel / novos clientes pagantes. CPI, CPM, clique e cadastro nao substituem CAC.'</t>
        </is>
      </c>
      <c r="J114" s="17" t="inlineStr">
        <is>
          <t>strong</t>
        </is>
      </c>
      <c r="K114" s="17" t="inlineStr">
        <is>
          <t>0.9</t>
        </is>
      </c>
      <c r="L114" s="17" t="inlineStr">
        <is>
          <t>fact</t>
        </is>
      </c>
    </row>
    <row r="115">
      <c r="A115" s="17" t="inlineStr">
        <is>
          <t>EV-d67e5f4223</t>
        </is>
      </c>
      <c r="B115" s="17" t="inlineStr">
        <is>
          <t>strategic_analysis</t>
        </is>
      </c>
      <c r="C115" s="17" t="inlineStr">
        <is>
          <t>r1</t>
        </is>
      </c>
      <c r="D115" s="18" t="inlineStr">
        <is>
          <t>O preco e um experimento declarado, nao uma tabela: R$29,90 / R$49,90 / R$79,90 mensais e R$299 / R$499 / R$799 anuais.</t>
        </is>
      </c>
      <c r="E115" s="17" t="inlineStr">
        <is>
          <t>SA-06B</t>
        </is>
      </c>
      <c r="F115" s="17" t="inlineStr">
        <is>
          <t>pricing</t>
        </is>
      </c>
      <c r="G115" s="17" t="inlineStr">
        <is>
          <t>ECO-01</t>
        </is>
      </c>
      <c r="H115" s="17" t="inlineStr">
        <is>
          <t>DOC-C07-009</t>
        </is>
      </c>
      <c r="I115" s="18" t="inlineStr">
        <is>
          <t>research.pricing: monthly_branches_brl [29.9, 49.9, 79.9], annual_branches_brl [299, 499, 799], central_test_price_brl 49.9, status 'HYPOTHESIS_TO_TEST'; painel: 'Preco canonico ainda nao existe'.</t>
        </is>
      </c>
      <c r="J115" s="17" t="inlineStr">
        <is>
          <t>strong</t>
        </is>
      </c>
      <c r="K115" s="17" t="inlineStr">
        <is>
          <t>0.9</t>
        </is>
      </c>
      <c r="L115" s="17" t="inlineStr">
        <is>
          <t>fact</t>
        </is>
      </c>
    </row>
    <row r="116">
      <c r="A116" s="17" t="inlineStr">
        <is>
          <t>EV-14af80201c</t>
        </is>
      </c>
      <c r="B116" s="17" t="inlineStr">
        <is>
          <t>strategic_analysis</t>
        </is>
      </c>
      <c r="C116" s="17" t="inlineStr">
        <is>
          <t>r1</t>
        </is>
      </c>
      <c r="D116" s="18" t="inlineStr">
        <is>
          <t>O servico tem preco declarado de R$700 por projeto de uma semana, com capacidade de um cliente por semana.</t>
        </is>
      </c>
      <c r="E116" s="17" t="inlineStr">
        <is>
          <t>SA-06B</t>
        </is>
      </c>
      <c r="F116" s="17" t="inlineStr">
        <is>
          <t>service_pricing</t>
        </is>
      </c>
      <c r="G116" s="17" t="inlineStr">
        <is>
          <t>ECO-07</t>
        </is>
      </c>
      <c r="H116" s="17" t="inlineStr">
        <is>
          <t>DOC-C05-001</t>
        </is>
      </c>
      <c r="I116" s="18" t="inlineStr">
        <is>
          <t>DOC-C05-001: 'Preco: Um projeto, uma entrega, uma semana: R$ 700,00'; 'Capacidade e escassez: Limite de um cliente por semana, apresentado como diferencial do servico'.</t>
        </is>
      </c>
      <c r="J116" s="17" t="inlineStr">
        <is>
          <t>strong</t>
        </is>
      </c>
      <c r="K116" s="17" t="inlineStr">
        <is>
          <t>0.9</t>
        </is>
      </c>
      <c r="L116" s="17" t="inlineStr">
        <is>
          <t>fact</t>
        </is>
      </c>
    </row>
    <row r="117">
      <c r="A117" s="17" t="inlineStr">
        <is>
          <t>EV-e9510ae33c</t>
        </is>
      </c>
      <c r="B117" s="17" t="inlineStr">
        <is>
          <t>strategic_analysis</t>
        </is>
      </c>
      <c r="C117" s="17" t="inlineStr">
        <is>
          <t>r1</t>
        </is>
      </c>
      <c r="D117" s="18" t="inlineStr">
        <is>
          <t>O servico tem preco declarado de R$700 por projeto de uma semana, com capacidade de um cliente por semana.</t>
        </is>
      </c>
      <c r="E117" s="17" t="inlineStr">
        <is>
          <t>SA-06B</t>
        </is>
      </c>
      <c r="F117" s="17" t="inlineStr">
        <is>
          <t>service_pricing</t>
        </is>
      </c>
      <c r="G117" s="17" t="inlineStr">
        <is>
          <t>ECO-07</t>
        </is>
      </c>
      <c r="H117" s="17" t="inlineStr">
        <is>
          <t>DOC-C09-006</t>
        </is>
      </c>
      <c r="I117" s="18" t="inlineStr">
        <is>
          <t>DOC-C05-001: 'Preco: Um projeto, uma entrega, uma semana: R$ 700,00'; 'Capacidade e escassez: Limite de um cliente por semana, apresentado como diferencial do servico'.</t>
        </is>
      </c>
      <c r="J117" s="17" t="inlineStr">
        <is>
          <t>strong</t>
        </is>
      </c>
      <c r="K117" s="17" t="inlineStr">
        <is>
          <t>0.9</t>
        </is>
      </c>
      <c r="L117" s="17" t="inlineStr">
        <is>
          <t>fact</t>
        </is>
      </c>
    </row>
    <row r="118">
      <c r="A118" s="17" t="inlineStr">
        <is>
          <t>EV-9ee0b05eb2</t>
        </is>
      </c>
      <c r="B118" s="17" t="inlineStr">
        <is>
          <t>strategic_analysis</t>
        </is>
      </c>
      <c r="C118" s="17" t="inlineStr">
        <is>
          <t>r1</t>
        </is>
      </c>
      <c r="D118" s="18" t="inlineStr">
        <is>
          <t>Com R$700 por semana e um cliente por semana, o teto teorico de receita do Estudio e cerca de R$36,4 mil por ano.</t>
        </is>
      </c>
      <c r="E118" s="17" t="inlineStr">
        <is>
          <t>SA-06B</t>
        </is>
      </c>
      <c r="F118" s="17" t="inlineStr">
        <is>
          <t>service_capacity_ceiling</t>
        </is>
      </c>
      <c r="G118" s="17" t="inlineStr">
        <is>
          <t>ECO-07</t>
        </is>
      </c>
      <c r="H118" s="17" t="inlineStr">
        <is>
          <t>DOC-C05-001</t>
        </is>
      </c>
      <c r="I118" s="18" t="inlineStr">
        <is>
          <t>Derivacao aritmetica direta de DOC-C05-001: R$700 x 52 semanas = R$36.400/ano, ignorando ferias, semanas sem cliente e os primeiros clientes atendidos sem cobranca.</t>
        </is>
      </c>
      <c r="J118" s="17" t="inlineStr">
        <is>
          <t>moderate</t>
        </is>
      </c>
      <c r="K118" s="17" t="inlineStr">
        <is>
          <t>0.8</t>
        </is>
      </c>
      <c r="L118" s="17" t="inlineStr">
        <is>
          <t>inference</t>
        </is>
      </c>
    </row>
    <row r="119">
      <c r="A119" s="17" t="inlineStr">
        <is>
          <t>EV-cb15d7a220</t>
        </is>
      </c>
      <c r="B119" s="17" t="inlineStr">
        <is>
          <t>strategic_analysis</t>
        </is>
      </c>
      <c r="C119" s="17" t="inlineStr">
        <is>
          <t>r1</t>
        </is>
      </c>
      <c r="D119" s="18" t="inlineStr">
        <is>
          <t>Os primeiros clientes podem ser atendidos sem cobranca para construcao de portfolio.</t>
        </is>
      </c>
      <c r="E119" s="17" t="inlineStr">
        <is>
          <t>SA-06B</t>
        </is>
      </c>
      <c r="F119" s="17" t="inlineStr">
        <is>
          <t>pricing_strategy</t>
        </is>
      </c>
      <c r="G119" s="17" t="inlineStr">
        <is>
          <t>ECO-07</t>
        </is>
      </c>
      <c r="H119" s="17" t="inlineStr">
        <is>
          <t>DOC-C05-001</t>
        </is>
      </c>
      <c r="I119" s="18" t="inlineStr">
        <is>
          <t>DOC-C05-001: 'Primeiros clientes podem ser atendidos sem cobranca para construcao de portfolio, com transparencia sobre fase inicial e possiveis refinamentos'.</t>
        </is>
      </c>
      <c r="J119" s="17" t="inlineStr">
        <is>
          <t>strong</t>
        </is>
      </c>
      <c r="K119" s="17" t="inlineStr">
        <is>
          <t>0.85</t>
        </is>
      </c>
      <c r="L119" s="17" t="inlineStr">
        <is>
          <t>fact</t>
        </is>
      </c>
    </row>
    <row r="120">
      <c r="A120" s="17" t="inlineStr">
        <is>
          <t>EV-7e81a99b3e</t>
        </is>
      </c>
      <c r="B120" s="17" t="inlineStr">
        <is>
          <t>strategic_analysis</t>
        </is>
      </c>
      <c r="C120" s="17" t="inlineStr">
        <is>
          <t>r1</t>
        </is>
      </c>
      <c r="D120" s="18" t="inlineStr">
        <is>
          <t>O custo variavel de IA e reconhecido como evento a medir, mas nao ha nenhum valor estimado no acervo.</t>
        </is>
      </c>
      <c r="E120" s="17" t="inlineStr">
        <is>
          <t>SA-06B</t>
        </is>
      </c>
      <c r="F120" s="17" t="inlineStr">
        <is>
          <t>cost_structure</t>
        </is>
      </c>
      <c r="G120" s="17" t="inlineStr">
        <is>
          <t>ECO-01</t>
        </is>
      </c>
      <c r="H120" s="17" t="inlineStr">
        <is>
          <t>DOC-C07-009</t>
        </is>
      </c>
      <c r="I120" s="18" t="inlineStr">
        <is>
          <t>telemetry.required_events inclui 'variable_ai_cost', porem nenhum documento lido apresenta custo por usuario, por execucao ou por token.</t>
        </is>
      </c>
      <c r="J120" s="17" t="inlineStr">
        <is>
          <t>none</t>
        </is>
      </c>
      <c r="K120" s="17" t="inlineStr">
        <is>
          <t>0.8</t>
        </is>
      </c>
      <c r="L120" s="17" t="inlineStr">
        <is>
          <t>gap</t>
        </is>
      </c>
    </row>
    <row r="121">
      <c r="A121" s="17" t="inlineStr">
        <is>
          <t>EV-f15ec5403c</t>
        </is>
      </c>
      <c r="B121" s="17" t="inlineStr">
        <is>
          <t>strategic_analysis</t>
        </is>
      </c>
      <c r="C121" s="17" t="inlineStr">
        <is>
          <t>r1</t>
        </is>
      </c>
      <c r="D121" s="18" t="inlineStr">
        <is>
          <t>Nao existe modelo economico proprio para a unidade editorial.</t>
        </is>
      </c>
      <c r="E121" s="17" t="inlineStr">
        <is>
          <t>SA-06B</t>
        </is>
      </c>
      <c r="F121" s="17" t="inlineStr">
        <is>
          <t>economics</t>
        </is>
      </c>
      <c r="G121" s="17" t="inlineStr">
        <is>
          <t>ECO-02</t>
        </is>
      </c>
      <c r="H121" s="17" t="inlineStr">
        <is>
          <t>DOC-C02-039</t>
        </is>
      </c>
      <c r="I121" s="18" t="inlineStr">
        <is>
          <t>O BMC de DOC-C02-039 tem 'Riscos / custos cognitivos' e 'Entregas / evidencia', mas nenhuma linha de receita, custo ou ponto de equilibrio; o objetivo declarado da fase e validar interesse, nao receita.</t>
        </is>
      </c>
      <c r="J121" s="17" t="inlineStr">
        <is>
          <t>none</t>
        </is>
      </c>
      <c r="K121" s="17" t="inlineStr">
        <is>
          <t>0.8</t>
        </is>
      </c>
      <c r="L121" s="17" t="inlineStr">
        <is>
          <t>gap</t>
        </is>
      </c>
    </row>
    <row r="122">
      <c r="A122" s="17" t="inlineStr">
        <is>
          <t>EV-5fa55df3da</t>
        </is>
      </c>
      <c r="B122" s="17" t="inlineStr">
        <is>
          <t>strategic_analysis</t>
        </is>
      </c>
      <c r="C122" s="17" t="inlineStr">
        <is>
          <t>r1</t>
        </is>
      </c>
      <c r="D122" s="18" t="inlineStr">
        <is>
          <t>Nao existe modelo economico proprio para a unidade editorial.</t>
        </is>
      </c>
      <c r="E122" s="17" t="inlineStr">
        <is>
          <t>SA-06B</t>
        </is>
      </c>
      <c r="F122" s="17" t="inlineStr">
        <is>
          <t>economics</t>
        </is>
      </c>
      <c r="G122" s="17" t="inlineStr">
        <is>
          <t>ECO-02</t>
        </is>
      </c>
      <c r="H122" s="17" t="inlineStr">
        <is>
          <t>DOC-C02-043</t>
        </is>
      </c>
      <c r="I122" s="18" t="inlineStr">
        <is>
          <t>O BMC de DOC-C02-039 tem 'Riscos / custos cognitivos' e 'Entregas / evidencia', mas nenhuma linha de receita, custo ou ponto de equilibrio; o objetivo declarado da fase e validar interesse, nao receita.</t>
        </is>
      </c>
      <c r="J122" s="17" t="inlineStr">
        <is>
          <t>none</t>
        </is>
      </c>
      <c r="K122" s="17" t="inlineStr">
        <is>
          <t>0.8</t>
        </is>
      </c>
      <c r="L122" s="17" t="inlineStr">
        <is>
          <t>gap</t>
        </is>
      </c>
    </row>
    <row r="123">
      <c r="A123" s="17" t="inlineStr">
        <is>
          <t>EV-02406974f9</t>
        </is>
      </c>
      <c r="B123" s="17" t="inlineStr">
        <is>
          <t>strategic_analysis</t>
        </is>
      </c>
      <c r="C123" s="17" t="inlineStr">
        <is>
          <t>r1</t>
        </is>
      </c>
      <c r="D123" s="18" t="inlineStr">
        <is>
          <t>A cadeia editorial e de derivacao 1 para N a partir de um conteudo canonico.</t>
        </is>
      </c>
      <c r="E123" s="17" t="inlineStr">
        <is>
          <t>SA-07A</t>
        </is>
      </c>
      <c r="F123" s="17" t="inlineStr">
        <is>
          <t>content_chain</t>
        </is>
      </c>
      <c r="G123" s="17" t="inlineStr">
        <is>
          <t>ECO-02</t>
        </is>
      </c>
      <c r="H123" s="17" t="inlineStr">
        <is>
          <t>DOC-C10-003</t>
        </is>
      </c>
      <c r="I123" s="18" t="inlineStr">
        <is>
          <t>DOC-C10-003: 'Artigo canonico -&gt; imagem principal -&gt; diagramas -&gt; video -&gt; cortes curtos -&gt; carrossel/post -&gt; chamada -&gt; agenda'; DOC-C02-043 registra 'produzir tudo por derivacao 1-&gt;N, comecando pelo artigo mestre'.</t>
        </is>
      </c>
      <c r="J123" s="17" t="inlineStr">
        <is>
          <t>strong</t>
        </is>
      </c>
      <c r="K123" s="17" t="inlineStr">
        <is>
          <t>0.9</t>
        </is>
      </c>
      <c r="L123" s="17" t="inlineStr">
        <is>
          <t>fact</t>
        </is>
      </c>
    </row>
    <row r="124">
      <c r="A124" s="17" t="inlineStr">
        <is>
          <t>EV-a638439f74</t>
        </is>
      </c>
      <c r="B124" s="17" t="inlineStr">
        <is>
          <t>strategic_analysis</t>
        </is>
      </c>
      <c r="C124" s="17" t="inlineStr">
        <is>
          <t>r1</t>
        </is>
      </c>
      <c r="D124" s="18" t="inlineStr">
        <is>
          <t>A cadeia editorial e de derivacao 1 para N a partir de um conteudo canonico.</t>
        </is>
      </c>
      <c r="E124" s="17" t="inlineStr">
        <is>
          <t>SA-07A</t>
        </is>
      </c>
      <c r="F124" s="17" t="inlineStr">
        <is>
          <t>content_chain</t>
        </is>
      </c>
      <c r="G124" s="17" t="inlineStr">
        <is>
          <t>ECO-02</t>
        </is>
      </c>
      <c r="H124" s="17" t="inlineStr">
        <is>
          <t>DOC-C02-043</t>
        </is>
      </c>
      <c r="I124" s="18" t="inlineStr">
        <is>
          <t>DOC-C10-003: 'Artigo canonico -&gt; imagem principal -&gt; diagramas -&gt; video -&gt; cortes curtos -&gt; carrossel/post -&gt; chamada -&gt; agenda'; DOC-C02-043 registra 'produzir tudo por derivacao 1-&gt;N, comecando pelo artigo mestre'.</t>
        </is>
      </c>
      <c r="J124" s="17" t="inlineStr">
        <is>
          <t>strong</t>
        </is>
      </c>
      <c r="K124" s="17" t="inlineStr">
        <is>
          <t>0.9</t>
        </is>
      </c>
      <c r="L124" s="17" t="inlineStr">
        <is>
          <t>fact</t>
        </is>
      </c>
    </row>
    <row r="125">
      <c r="A125" s="17" t="inlineStr">
        <is>
          <t>EV-3718a6adf1</t>
        </is>
      </c>
      <c r="B125" s="17" t="inlineStr">
        <is>
          <t>strategic_analysis</t>
        </is>
      </c>
      <c r="C125" s="17" t="inlineStr">
        <is>
          <t>r1</t>
        </is>
      </c>
      <c r="D125" s="18" t="inlineStr">
        <is>
          <t>A cadeia editorial e de derivacao 1 para N a partir de um conteudo canonico.</t>
        </is>
      </c>
      <c r="E125" s="17" t="inlineStr">
        <is>
          <t>SA-07A</t>
        </is>
      </c>
      <c r="F125" s="17" t="inlineStr">
        <is>
          <t>content_chain</t>
        </is>
      </c>
      <c r="G125" s="17" t="inlineStr">
        <is>
          <t>ECO-02</t>
        </is>
      </c>
      <c r="H125" s="17" t="inlineStr">
        <is>
          <t>DOC-C02-014</t>
        </is>
      </c>
      <c r="I125" s="18" t="inlineStr">
        <is>
          <t>DOC-C10-003: 'Artigo canonico -&gt; imagem principal -&gt; diagramas -&gt; video -&gt; cortes curtos -&gt; carrossel/post -&gt; chamada -&gt; agenda'; DOC-C02-043 registra 'produzir tudo por derivacao 1-&gt;N, comecando pelo artigo mestre'.</t>
        </is>
      </c>
      <c r="J125" s="17" t="inlineStr">
        <is>
          <t>strong</t>
        </is>
      </c>
      <c r="K125" s="17" t="inlineStr">
        <is>
          <t>0.9</t>
        </is>
      </c>
      <c r="L125" s="17" t="inlineStr">
        <is>
          <t>fact</t>
        </is>
      </c>
    </row>
    <row r="126">
      <c r="A126" s="17" t="inlineStr">
        <is>
          <t>EV-3536ce0711</t>
        </is>
      </c>
      <c r="B126" s="17" t="inlineStr">
        <is>
          <t>strategic_analysis</t>
        </is>
      </c>
      <c r="C126" s="17" t="inlineStr">
        <is>
          <t>r1</t>
        </is>
      </c>
      <c r="D126" s="18" t="inlineStr">
        <is>
          <t>A cadeia de entrega do lancamento e definida como pacote fechado com dez elos obrigatorios.</t>
        </is>
      </c>
      <c r="E126" s="17" t="inlineStr">
        <is>
          <t>SA-07A</t>
        </is>
      </c>
      <c r="F126" s="17" t="inlineStr">
        <is>
          <t>delivery_chain</t>
        </is>
      </c>
      <c r="G126" s="17" t="inlineStr">
        <is>
          <t>ECO-01</t>
        </is>
      </c>
      <c r="H126" s="17" t="inlineStr">
        <is>
          <t>DOC-C06-001</t>
        </is>
      </c>
      <c r="I126" s="18" t="inlineStr">
        <is>
          <t>DOC-C06-001: 'conteudo -&gt; assets -&gt; CTA -&gt; brinde -&gt; destino -&gt; CMS -&gt; distribuicao -&gt; agendamento -&gt; tracking -&gt; evidencia = DONE'; regra de ouro: 'Nenhum output produzido pode ficar orfao'.</t>
        </is>
      </c>
      <c r="J126" s="17" t="inlineStr">
        <is>
          <t>strong</t>
        </is>
      </c>
      <c r="K126" s="17" t="inlineStr">
        <is>
          <t>0.9</t>
        </is>
      </c>
      <c r="L126" s="17" t="inlineStr">
        <is>
          <t>fact</t>
        </is>
      </c>
    </row>
    <row r="127">
      <c r="A127" s="17" t="inlineStr">
        <is>
          <t>EV-33b2bb10a2</t>
        </is>
      </c>
      <c r="B127" s="17" t="inlineStr">
        <is>
          <t>strategic_analysis</t>
        </is>
      </c>
      <c r="C127" s="17" t="inlineStr">
        <is>
          <t>r1</t>
        </is>
      </c>
      <c r="D127" s="18" t="inlineStr">
        <is>
          <t>A cadeia de entrega do lancamento e definida como pacote fechado com dez elos obrigatorios.</t>
        </is>
      </c>
      <c r="E127" s="17" t="inlineStr">
        <is>
          <t>SA-07A</t>
        </is>
      </c>
      <c r="F127" s="17" t="inlineStr">
        <is>
          <t>delivery_chain</t>
        </is>
      </c>
      <c r="G127" s="17" t="inlineStr">
        <is>
          <t>ECO-01</t>
        </is>
      </c>
      <c r="H127" s="17" t="inlineStr">
        <is>
          <t>DOC-C08-003</t>
        </is>
      </c>
      <c r="I127" s="18" t="inlineStr">
        <is>
          <t>DOC-C06-001: 'conteudo -&gt; assets -&gt; CTA -&gt; brinde -&gt; destino -&gt; CMS -&gt; distribuicao -&gt; agendamento -&gt; tracking -&gt; evidencia = DONE'; regra de ouro: 'Nenhum output produzido pode ficar orfao'.</t>
        </is>
      </c>
      <c r="J127" s="17" t="inlineStr">
        <is>
          <t>strong</t>
        </is>
      </c>
      <c r="K127" s="17" t="inlineStr">
        <is>
          <t>0.9</t>
        </is>
      </c>
      <c r="L127" s="17" t="inlineStr">
        <is>
          <t>fact</t>
        </is>
      </c>
    </row>
    <row r="128">
      <c r="A128" s="17" t="inlineStr">
        <is>
          <t>EV-fec0506765</t>
        </is>
      </c>
      <c r="B128" s="17" t="inlineStr">
        <is>
          <t>strategic_analysis</t>
        </is>
      </c>
      <c r="C128" s="17" t="inlineStr">
        <is>
          <t>r1</t>
        </is>
      </c>
      <c r="D128" s="18" t="inlineStr">
        <is>
          <t>A cadeia de servico tem nove etapas em aproximadamente sete dias, do formulario ao pos-entrega.</t>
        </is>
      </c>
      <c r="E128" s="17" t="inlineStr">
        <is>
          <t>SA-07A</t>
        </is>
      </c>
      <c r="F128" s="17" t="inlineStr">
        <is>
          <t>service_chain</t>
        </is>
      </c>
      <c r="G128" s="17" t="inlineStr">
        <is>
          <t>ECO-07</t>
        </is>
      </c>
      <c r="H128" s="17" t="inlineStr">
        <is>
          <t>DOC-C05-001</t>
        </is>
      </c>
      <c r="I128" s="18" t="inlineStr">
        <is>
          <t>DOC-C05-001: 'Jornada de aproximadamente sete dias, com formulario inicial, consulta extensa, desenvolvimento, prototipo, teste, refinamento, entrega, onboarding e periodo posterior para duvidas'.</t>
        </is>
      </c>
      <c r="J128" s="17" t="inlineStr">
        <is>
          <t>strong</t>
        </is>
      </c>
      <c r="K128" s="17" t="inlineStr">
        <is>
          <t>0.85</t>
        </is>
      </c>
      <c r="L128" s="17" t="inlineStr">
        <is>
          <t>fact</t>
        </is>
      </c>
    </row>
    <row r="129">
      <c r="A129" s="17" t="inlineStr">
        <is>
          <t>EV-4cb3eb5285</t>
        </is>
      </c>
      <c r="B129" s="17" t="inlineStr">
        <is>
          <t>strategic_analysis</t>
        </is>
      </c>
      <c r="C129" s="17" t="inlineStr">
        <is>
          <t>r1</t>
        </is>
      </c>
      <c r="D129" s="18" t="inlineStr">
        <is>
          <t>A cadeia de servico tem nove etapas em aproximadamente sete dias, do formulario ao pos-entrega.</t>
        </is>
      </c>
      <c r="E129" s="17" t="inlineStr">
        <is>
          <t>SA-07A</t>
        </is>
      </c>
      <c r="F129" s="17" t="inlineStr">
        <is>
          <t>service_chain</t>
        </is>
      </c>
      <c r="G129" s="17" t="inlineStr">
        <is>
          <t>ECO-07</t>
        </is>
      </c>
      <c r="H129" s="17" t="inlineStr">
        <is>
          <t>DOC-C11-010</t>
        </is>
      </c>
      <c r="I129" s="18" t="inlineStr">
        <is>
          <t>DOC-C05-001: 'Jornada de aproximadamente sete dias, com formulario inicial, consulta extensa, desenvolvimento, prototipo, teste, refinamento, entrega, onboarding e periodo posterior para duvidas'.</t>
        </is>
      </c>
      <c r="J129" s="17" t="inlineStr">
        <is>
          <t>strong</t>
        </is>
      </c>
      <c r="K129" s="17" t="inlineStr">
        <is>
          <t>0.85</t>
        </is>
      </c>
      <c r="L129" s="17" t="inlineStr">
        <is>
          <t>fact</t>
        </is>
      </c>
    </row>
    <row r="130">
      <c r="A130" s="17" t="inlineStr">
        <is>
          <t>EV-02a6d5f9b4</t>
        </is>
      </c>
      <c r="B130" s="17" t="inlineStr">
        <is>
          <t>strategic_analysis</t>
        </is>
      </c>
      <c r="C130" s="17" t="inlineStr">
        <is>
          <t>r1</t>
        </is>
      </c>
      <c r="D130" s="18" t="inlineStr">
        <is>
          <t>A cadeia de servico tem nove etapas em aproximadamente sete dias, do formulario ao pos-entrega.</t>
        </is>
      </c>
      <c r="E130" s="17" t="inlineStr">
        <is>
          <t>SA-07A</t>
        </is>
      </c>
      <c r="F130" s="17" t="inlineStr">
        <is>
          <t>service_chain</t>
        </is>
      </c>
      <c r="G130" s="17" t="inlineStr">
        <is>
          <t>ECO-07</t>
        </is>
      </c>
      <c r="H130" s="17" t="inlineStr">
        <is>
          <t>DOC-C12-003</t>
        </is>
      </c>
      <c r="I130" s="18" t="inlineStr">
        <is>
          <t>DOC-C05-001: 'Jornada de aproximadamente sete dias, com formulario inicial, consulta extensa, desenvolvimento, prototipo, teste, refinamento, entrega, onboarding e periodo posterior para duvidas'.</t>
        </is>
      </c>
      <c r="J130" s="17" t="inlineStr">
        <is>
          <t>strong</t>
        </is>
      </c>
      <c r="K130" s="17" t="inlineStr">
        <is>
          <t>0.85</t>
        </is>
      </c>
      <c r="L130" s="17" t="inlineStr">
        <is>
          <t>fact</t>
        </is>
      </c>
    </row>
    <row r="131">
      <c r="A131" s="17" t="inlineStr">
        <is>
          <t>EV-c70275c9f9</t>
        </is>
      </c>
      <c r="B131" s="17" t="inlineStr">
        <is>
          <t>strategic_analysis</t>
        </is>
      </c>
      <c r="C131" s="17" t="inlineStr">
        <is>
          <t>r1</t>
        </is>
      </c>
      <c r="D131" s="18" t="inlineStr">
        <is>
          <t>O ecossistema e desenhado como ciclo em que o proprio produto serve de showroom da capacidade de servico.</t>
        </is>
      </c>
      <c r="E131" s="17" t="inlineStr">
        <is>
          <t>SA-07A</t>
        </is>
      </c>
      <c r="F131" s="17" t="inlineStr">
        <is>
          <t>ecosystem_loop</t>
        </is>
      </c>
      <c r="G131" s="17" t="inlineStr">
        <is>
          <t>ECO-01</t>
        </is>
      </c>
      <c r="H131" s="17" t="inlineStr">
        <is>
          <t>DOC-C05-001</t>
        </is>
      </c>
      <c r="I131" s="18" t="inlineStr">
        <is>
          <t>DOC-C05-001: 'Autoridade pessoal -&gt; Conteudo -&gt; Produtos -&gt; Demonstracao pratica -&gt; Servico -&gt; Cliente -&gt; Caso real -&gt; Portfolio -&gt; Mais autoridade'; e 'o Executar nao e apenas um produto... funciona simultaneamente como produto, laboratorio, prova de competencia, showroom e principal ativo de autoridade comercial'.</t>
        </is>
      </c>
      <c r="J131" s="17" t="inlineStr">
        <is>
          <t>strong</t>
        </is>
      </c>
      <c r="K131" s="17" t="inlineStr">
        <is>
          <t>0.9</t>
        </is>
      </c>
      <c r="L131" s="17" t="inlineStr">
        <is>
          <t>fact</t>
        </is>
      </c>
    </row>
    <row r="132">
      <c r="A132" s="17" t="inlineStr">
        <is>
          <t>EV-f77a1b9d17</t>
        </is>
      </c>
      <c r="B132" s="17" t="inlineStr">
        <is>
          <t>strategic_analysis</t>
        </is>
      </c>
      <c r="C132" s="17" t="inlineStr">
        <is>
          <t>r1</t>
        </is>
      </c>
      <c r="D132" s="18" t="inlineStr">
        <is>
          <t>A infraestrutura editorial esta definida e tem criterio de aceite operacional, nao tecnico.</t>
        </is>
      </c>
      <c r="E132" s="17" t="inlineStr">
        <is>
          <t>SA-07A</t>
        </is>
      </c>
      <c r="F132" s="17" t="inlineStr">
        <is>
          <t>tech_stack</t>
        </is>
      </c>
      <c r="G132" s="17" t="inlineStr">
        <is>
          <t>ECO-02</t>
        </is>
      </c>
      <c r="H132" s="17" t="inlineStr">
        <is>
          <t>DOC-C02-017</t>
        </is>
      </c>
      <c r="I132" s="18" t="inlineStr">
        <is>
          <t>DOC-C02-017: 'Vercel Payload Website Starter + Next.js + Payload CMS + PostgreSQL/Neon + Vercel Blob'; DoD: 'Abrir /admin -&gt; criar artigo -&gt; ... -&gt; publicar, sem editar codigo'.</t>
        </is>
      </c>
      <c r="J132" s="17" t="inlineStr">
        <is>
          <t>strong</t>
        </is>
      </c>
      <c r="K132" s="17" t="inlineStr">
        <is>
          <t>0.9</t>
        </is>
      </c>
      <c r="L132" s="17" t="inlineStr">
        <is>
          <t>fact</t>
        </is>
      </c>
    </row>
    <row r="133">
      <c r="A133" s="17" t="inlineStr">
        <is>
          <t>EV-23a135a628</t>
        </is>
      </c>
      <c r="B133" s="17" t="inlineStr">
        <is>
          <t>strategic_analysis</t>
        </is>
      </c>
      <c r="C133" s="17" t="inlineStr">
        <is>
          <t>r1</t>
        </is>
      </c>
      <c r="D133" s="18" t="inlineStr">
        <is>
          <t>A infraestrutura editorial esta definida e tem criterio de aceite operacional, nao tecnico.</t>
        </is>
      </c>
      <c r="E133" s="17" t="inlineStr">
        <is>
          <t>SA-07A</t>
        </is>
      </c>
      <c r="F133" s="17" t="inlineStr">
        <is>
          <t>tech_stack</t>
        </is>
      </c>
      <c r="G133" s="17" t="inlineStr">
        <is>
          <t>ECO-02</t>
        </is>
      </c>
      <c r="H133" s="17" t="inlineStr">
        <is>
          <t>DOC-C02-043</t>
        </is>
      </c>
      <c r="I133" s="18" t="inlineStr">
        <is>
          <t>DOC-C02-017: 'Vercel Payload Website Starter + Next.js + Payload CMS + PostgreSQL/Neon + Vercel Blob'; DoD: 'Abrir /admin -&gt; criar artigo -&gt; ... -&gt; publicar, sem editar codigo'.</t>
        </is>
      </c>
      <c r="J133" s="17" t="inlineStr">
        <is>
          <t>strong</t>
        </is>
      </c>
      <c r="K133" s="17" t="inlineStr">
        <is>
          <t>0.9</t>
        </is>
      </c>
      <c r="L133" s="17" t="inlineStr">
        <is>
          <t>fact</t>
        </is>
      </c>
    </row>
    <row r="134">
      <c r="A134" s="17" t="inlineStr">
        <is>
          <t>EV-38bafbf9a7</t>
        </is>
      </c>
      <c r="B134" s="17" t="inlineStr">
        <is>
          <t>strategic_analysis</t>
        </is>
      </c>
      <c r="C134" s="17" t="inlineStr">
        <is>
          <t>r1</t>
        </is>
      </c>
      <c r="D134" s="18" t="inlineStr">
        <is>
          <t>A capacidade de engenharia esta comprovada por estado real de repositorio, nao por declaracao.</t>
        </is>
      </c>
      <c r="E134" s="17" t="inlineStr">
        <is>
          <t>SA-07B</t>
        </is>
      </c>
      <c r="F134" s="17" t="inlineStr">
        <is>
          <t>engineering</t>
        </is>
      </c>
      <c r="G134" s="17" t="inlineStr">
        <is>
          <t>ECO-01</t>
        </is>
      </c>
      <c r="H134" s="17" t="inlineStr">
        <is>
          <t>DOC-C04-002</t>
        </is>
      </c>
      <c r="I134" s="18" t="inlineStr">
        <is>
          <t>DOC-C04-002: 'HEAD de main: 4c8f360 (merge do PR #77)... typecheck limpo... 51/51 vitest passando... 347/347 testes de governanca... CI 3/3 checks verdes em cada um dos PRs mesclados'; handoff gerado 'a partir do estado real do repositorio (git log + GitHub API)'.</t>
        </is>
      </c>
      <c r="J134" s="17" t="inlineStr">
        <is>
          <t>strong</t>
        </is>
      </c>
      <c r="K134" s="17" t="inlineStr">
        <is>
          <t>0.9</t>
        </is>
      </c>
      <c r="L134" s="17" t="inlineStr">
        <is>
          <t>fact</t>
        </is>
      </c>
    </row>
    <row r="135">
      <c r="A135" s="17" t="inlineStr">
        <is>
          <t>EV-de3224b8bf</t>
        </is>
      </c>
      <c r="B135" s="17" t="inlineStr">
        <is>
          <t>strategic_analysis</t>
        </is>
      </c>
      <c r="C135" s="17" t="inlineStr">
        <is>
          <t>r1</t>
        </is>
      </c>
      <c r="D135" s="18" t="inlineStr">
        <is>
          <t>O diferencial declarado e arquitetural: plano estavel com rota recalculada, nao uma feature isolada.</t>
        </is>
      </c>
      <c r="E135" s="17" t="inlineStr">
        <is>
          <t>SA-07B</t>
        </is>
      </c>
      <c r="F135" s="17" t="inlineStr">
        <is>
          <t>product_engine</t>
        </is>
      </c>
      <c r="G135" s="17" t="inlineStr">
        <is>
          <t>ECO-01</t>
        </is>
      </c>
      <c r="H135" s="17" t="inlineStr">
        <is>
          <t>DOC-C05-001</t>
        </is>
      </c>
      <c r="I135" s="18" t="inlineStr">
        <is>
          <t>DOC-C05-001: 'Tempo disponivel, dependencias, WIP e ciclo definem elegibilidade; Flow Score e Context Score ordenam as alternativas; Progress Points registram somente o trabalho efetivamente concluido'; 'PLAN != ROUTE / ROUTE subconjunto de PLAN'; mensagem: 'O plano continua. A rota se adapta. Voce executa.'</t>
        </is>
      </c>
      <c r="J135" s="17" t="inlineStr">
        <is>
          <t>strong</t>
        </is>
      </c>
      <c r="K135" s="17" t="inlineStr">
        <is>
          <t>0.9</t>
        </is>
      </c>
      <c r="L135" s="17" t="inlineStr">
        <is>
          <t>fact</t>
        </is>
      </c>
    </row>
    <row r="136">
      <c r="A136" s="17" t="inlineStr">
        <is>
          <t>EV-300a33965c</t>
        </is>
      </c>
      <c r="B136" s="17" t="inlineStr">
        <is>
          <t>strategic_analysis</t>
        </is>
      </c>
      <c r="C136" s="17" t="inlineStr">
        <is>
          <t>r1</t>
        </is>
      </c>
      <c r="D136" s="18" t="inlineStr">
        <is>
          <t>Existe uma capacidade rara no acervo: governanca epistemologica que separa candidato de verificado.</t>
        </is>
      </c>
      <c r="E136" s="17" t="inlineStr">
        <is>
          <t>SA-07B</t>
        </is>
      </c>
      <c r="F136" s="17" t="inlineStr">
        <is>
          <t>epistemic_governance</t>
        </is>
      </c>
      <c r="G136" s="17" t="inlineStr">
        <is>
          <t>ECO-01</t>
        </is>
      </c>
      <c r="H136" s="17" t="inlineStr">
        <is>
          <t>DOC-C07-009</t>
        </is>
      </c>
      <c r="I136" s="18" t="inlineStr">
        <is>
          <t>DOC-C07-009, invariantes: 'original != extracao != evidencia != decisao - candidate != verified - benchmark != dado do EXECUTAR - modelo economico != unit economics observado - literatura externa != eficacia do EXECUTAR - similaridade != suporte factual'.</t>
        </is>
      </c>
      <c r="J136" s="17" t="inlineStr">
        <is>
          <t>strong</t>
        </is>
      </c>
      <c r="K136" s="17" t="inlineStr">
        <is>
          <t>0.9</t>
        </is>
      </c>
      <c r="L136" s="17" t="inlineStr">
        <is>
          <t>fact</t>
        </is>
      </c>
    </row>
    <row r="137">
      <c r="A137" s="17" t="inlineStr">
        <is>
          <t>EV-60a3240930</t>
        </is>
      </c>
      <c r="B137" s="17" t="inlineStr">
        <is>
          <t>strategic_analysis</t>
        </is>
      </c>
      <c r="C137" s="17" t="inlineStr">
        <is>
          <t>r1</t>
        </is>
      </c>
      <c r="D137" s="18" t="inlineStr">
        <is>
          <t>Existe uma capacidade rara no acervo: governanca epistemologica que separa candidato de verificado.</t>
        </is>
      </c>
      <c r="E137" s="17" t="inlineStr">
        <is>
          <t>SA-07B</t>
        </is>
      </c>
      <c r="F137" s="17" t="inlineStr">
        <is>
          <t>epistemic_governance</t>
        </is>
      </c>
      <c r="G137" s="17" t="inlineStr">
        <is>
          <t>ECO-01</t>
        </is>
      </c>
      <c r="H137" s="17" t="inlineStr">
        <is>
          <t>DOC-C07-007</t>
        </is>
      </c>
      <c r="I137" s="18" t="inlineStr">
        <is>
          <t>DOC-C07-009, invariantes: 'original != extracao != evidencia != decisao - candidate != verified - benchmark != dado do EXECUTAR - modelo economico != unit economics observado - literatura externa != eficacia do EXECUTAR - similaridade != suporte factual'.</t>
        </is>
      </c>
      <c r="J137" s="17" t="inlineStr">
        <is>
          <t>strong</t>
        </is>
      </c>
      <c r="K137" s="17" t="inlineStr">
        <is>
          <t>0.9</t>
        </is>
      </c>
      <c r="L137" s="17" t="inlineStr">
        <is>
          <t>fact</t>
        </is>
      </c>
    </row>
    <row r="138">
      <c r="A138" s="17" t="inlineStr">
        <is>
          <t>EV-e3e3b74404</t>
        </is>
      </c>
      <c r="B138" s="17" t="inlineStr">
        <is>
          <t>strategic_analysis</t>
        </is>
      </c>
      <c r="C138" s="17" t="inlineStr">
        <is>
          <t>r1</t>
        </is>
      </c>
      <c r="D138" s="18" t="inlineStr">
        <is>
          <t>O framework CERM tem cinco componentes provisorios e uma arquitetura de sete elos.</t>
        </is>
      </c>
      <c r="E138" s="17" t="inlineStr">
        <is>
          <t>SA-07B</t>
        </is>
      </c>
      <c r="F138" s="17" t="inlineStr">
        <is>
          <t>framework_components</t>
        </is>
      </c>
      <c r="G138" s="17" t="inlineStr">
        <is>
          <t>ECO-03</t>
        </is>
      </c>
      <c r="H138" s="17" t="inlineStr">
        <is>
          <t>DOC-C02-016</t>
        </is>
      </c>
      <c r="I138" s="18" t="inlineStr">
        <is>
          <t>DOC-C02-016: arquitetura 'Perfil executivo -&gt; demanda cognitiva -&gt; risco de execucao -&gt; impacto/probabilidade -&gt; controle compensatorio -&gt; monitoramento -&gt; evidencia/feedback'; componentes: Cognitive Risk Profile, Cognitive Demand Map, Cognitive Risk Register, Compensating Controls, Execution Evidence.</t>
        </is>
      </c>
      <c r="J138" s="17" t="inlineStr">
        <is>
          <t>strong</t>
        </is>
      </c>
      <c r="K138" s="17" t="inlineStr">
        <is>
          <t>0.9</t>
        </is>
      </c>
      <c r="L138" s="17" t="inlineStr">
        <is>
          <t>fact</t>
        </is>
      </c>
    </row>
    <row r="139">
      <c r="A139" s="17" t="inlineStr">
        <is>
          <t>EV-720717128e</t>
        </is>
      </c>
      <c r="B139" s="17" t="inlineStr">
        <is>
          <t>strategic_analysis</t>
        </is>
      </c>
      <c r="C139" s="17" t="inlineStr">
        <is>
          <t>r1</t>
        </is>
      </c>
      <c r="D139" s="18" t="inlineStr">
        <is>
          <t>O framework CERM tem cinco componentes provisorios e uma arquitetura de sete elos.</t>
        </is>
      </c>
      <c r="E139" s="17" t="inlineStr">
        <is>
          <t>SA-07B</t>
        </is>
      </c>
      <c r="F139" s="17" t="inlineStr">
        <is>
          <t>framework_components</t>
        </is>
      </c>
      <c r="G139" s="17" t="inlineStr">
        <is>
          <t>ECO-03</t>
        </is>
      </c>
      <c r="H139" s="17" t="inlineStr">
        <is>
          <t>DOC-C02-031</t>
        </is>
      </c>
      <c r="I139" s="18" t="inlineStr">
        <is>
          <t>DOC-C02-016: arquitetura 'Perfil executivo -&gt; demanda cognitiva -&gt; risco de execucao -&gt; impacto/probabilidade -&gt; controle compensatorio -&gt; monitoramento -&gt; evidencia/feedback'; componentes: Cognitive Risk Profile, Cognitive Demand Map, Cognitive Risk Register, Compensating Controls, Execution Evidence.</t>
        </is>
      </c>
      <c r="J139" s="17" t="inlineStr">
        <is>
          <t>strong</t>
        </is>
      </c>
      <c r="K139" s="17" t="inlineStr">
        <is>
          <t>0.9</t>
        </is>
      </c>
      <c r="L139" s="17" t="inlineStr">
        <is>
          <t>fact</t>
        </is>
      </c>
    </row>
    <row r="140">
      <c r="A140" s="17" t="inlineStr">
        <is>
          <t>EV-7b1eaab9ad</t>
        </is>
      </c>
      <c r="B140" s="17" t="inlineStr">
        <is>
          <t>strategic_analysis</t>
        </is>
      </c>
      <c r="C140" s="17" t="inlineStr">
        <is>
          <t>r1</t>
        </is>
      </c>
      <c r="D140" s="18" t="inlineStr">
        <is>
          <t>O framework editorial de sete etapas e declarado como adaptacao da logica da ISO 31000, nao como norma.</t>
        </is>
      </c>
      <c r="E140" s="17" t="inlineStr">
        <is>
          <t>SA-07B</t>
        </is>
      </c>
      <c r="F140" s="17" t="inlineStr">
        <is>
          <t>method_capability</t>
        </is>
      </c>
      <c r="G140" s="17" t="inlineStr">
        <is>
          <t>ECO-03</t>
        </is>
      </c>
      <c r="H140" s="17" t="inlineStr">
        <is>
          <t>DOC-C01-005</t>
        </is>
      </c>
      <c r="I140" s="18" t="inlineStr">
        <is>
          <t>DOC-C01-005: 'Contexto -&gt; Identificar -&gt; Analisar -&gt; Avaliar -&gt; Tratar -&gt; Controlar -&gt; Monitorar'; ressalva: 'seria um framework seu inspirado na ISO 31000, nao um protocolo clinico ou uma metodologia oficialmente reconhecida pela ISO'.</t>
        </is>
      </c>
      <c r="J140" s="17" t="inlineStr">
        <is>
          <t>strong</t>
        </is>
      </c>
      <c r="K140" s="17" t="inlineStr">
        <is>
          <t>0.9</t>
        </is>
      </c>
      <c r="L140" s="17" t="inlineStr">
        <is>
          <t>fact</t>
        </is>
      </c>
    </row>
    <row r="141">
      <c r="A141" s="17" t="inlineStr">
        <is>
          <t>EV-45330ecda4</t>
        </is>
      </c>
      <c r="B141" s="17" t="inlineStr">
        <is>
          <t>strategic_analysis</t>
        </is>
      </c>
      <c r="C141" s="17" t="inlineStr">
        <is>
          <t>r1</t>
        </is>
      </c>
      <c r="D141" s="18" t="inlineStr">
        <is>
          <t>O framework editorial de sete etapas e declarado como adaptacao da logica da ISO 31000, nao como norma.</t>
        </is>
      </c>
      <c r="E141" s="17" t="inlineStr">
        <is>
          <t>SA-07B</t>
        </is>
      </c>
      <c r="F141" s="17" t="inlineStr">
        <is>
          <t>method_capability</t>
        </is>
      </c>
      <c r="G141" s="17" t="inlineStr">
        <is>
          <t>ECO-03</t>
        </is>
      </c>
      <c r="H141" s="17" t="inlineStr">
        <is>
          <t>DOC-C03-002</t>
        </is>
      </c>
      <c r="I141" s="18" t="inlineStr">
        <is>
          <t>DOC-C01-005: 'Contexto -&gt; Identificar -&gt; Analisar -&gt; Avaliar -&gt; Tratar -&gt; Controlar -&gt; Monitorar'; ressalva: 'seria um framework seu inspirado na ISO 31000, nao um protocolo clinico ou uma metodologia oficialmente reconhecida pela ISO'.</t>
        </is>
      </c>
      <c r="J141" s="17" t="inlineStr">
        <is>
          <t>strong</t>
        </is>
      </c>
      <c r="K141" s="17" t="inlineStr">
        <is>
          <t>0.9</t>
        </is>
      </c>
      <c r="L141" s="17" t="inlineStr">
        <is>
          <t>fact</t>
        </is>
      </c>
    </row>
    <row r="142">
      <c r="A142" s="17" t="inlineStr">
        <is>
          <t>EV-d0ad9b5e2a</t>
        </is>
      </c>
      <c r="B142" s="17" t="inlineStr">
        <is>
          <t>strategic_analysis</t>
        </is>
      </c>
      <c r="C142" s="17" t="inlineStr">
        <is>
          <t>r1</t>
        </is>
      </c>
      <c r="D142" s="18" t="inlineStr">
        <is>
          <t>A capacidade do Estudio e uma pessoa, e isso e apresentado como diferencial e nao como limite.</t>
        </is>
      </c>
      <c r="E142" s="17" t="inlineStr">
        <is>
          <t>SA-07B</t>
        </is>
      </c>
      <c r="F142" s="17" t="inlineStr">
        <is>
          <t>capacity_constraint</t>
        </is>
      </c>
      <c r="G142" s="17" t="inlineStr">
        <is>
          <t>ECO-07</t>
        </is>
      </c>
      <c r="H142" s="17" t="inlineStr">
        <is>
          <t>DOC-C05-001</t>
        </is>
      </c>
      <c r="I142" s="18" t="inlineStr">
        <is>
          <t>DOC-C05-001: 'Limite de um cliente por semana, apresentado como diferencial do servico'; nenhum documento lido preve equipe, subcontratacao ou padronizacao de entrega.</t>
        </is>
      </c>
      <c r="J142" s="17" t="inlineStr">
        <is>
          <t>strong</t>
        </is>
      </c>
      <c r="K142" s="17" t="inlineStr">
        <is>
          <t>0.85</t>
        </is>
      </c>
      <c r="L142" s="17" t="inlineStr">
        <is>
          <t>fact</t>
        </is>
      </c>
    </row>
    <row r="143">
      <c r="A143" s="17" t="inlineStr">
        <is>
          <t>EV-90685292ab</t>
        </is>
      </c>
      <c r="B143" s="17" t="inlineStr">
        <is>
          <t>strategic_analysis</t>
        </is>
      </c>
      <c r="C143" s="17" t="inlineStr">
        <is>
          <t>r1</t>
        </is>
      </c>
      <c r="D143" s="18" t="inlineStr">
        <is>
          <t>A capacidade do Estudio e uma pessoa, e isso e apresentado como diferencial e nao como limite.</t>
        </is>
      </c>
      <c r="E143" s="17" t="inlineStr">
        <is>
          <t>SA-07B</t>
        </is>
      </c>
      <c r="F143" s="17" t="inlineStr">
        <is>
          <t>capacity_constraint</t>
        </is>
      </c>
      <c r="G143" s="17" t="inlineStr">
        <is>
          <t>ECO-07</t>
        </is>
      </c>
      <c r="H143" s="17" t="inlineStr">
        <is>
          <t>DOC-C09-006</t>
        </is>
      </c>
      <c r="I143" s="18" t="inlineStr">
        <is>
          <t>DOC-C05-001: 'Limite de um cliente por semana, apresentado como diferencial do servico'; nenhum documento lido preve equipe, subcontratacao ou padronizacao de entrega.</t>
        </is>
      </c>
      <c r="J143" s="17" t="inlineStr">
        <is>
          <t>strong</t>
        </is>
      </c>
      <c r="K143" s="17" t="inlineStr">
        <is>
          <t>0.85</t>
        </is>
      </c>
      <c r="L143" s="17" t="inlineStr">
        <is>
          <t>fact</t>
        </is>
      </c>
    </row>
    <row r="144">
      <c r="A144" s="17" t="inlineStr">
        <is>
          <t>EV-2a687a7d33</t>
        </is>
      </c>
      <c r="B144" s="17" t="inlineStr">
        <is>
          <t>strategic_analysis</t>
        </is>
      </c>
      <c r="C144" s="17" t="inlineStr">
        <is>
          <t>r1</t>
        </is>
      </c>
      <c r="D144" s="18" t="inlineStr">
        <is>
          <t>O plano de entregaveis mostra 33 de 43 itens ainda ATIVOS as vesperas do lancamento.</t>
        </is>
      </c>
      <c r="E144" s="17" t="inlineStr">
        <is>
          <t>SA-07B</t>
        </is>
      </c>
      <c r="F144" s="17" t="inlineStr">
        <is>
          <t>execution_capacity</t>
        </is>
      </c>
      <c r="G144" s="17" t="inlineStr">
        <is>
          <t>ECO-01</t>
        </is>
      </c>
      <c r="H144" s="17" t="inlineStr">
        <is>
          <t>DOC-C02-004</t>
        </is>
      </c>
      <c r="I144" s="18" t="inlineStr">
        <is>
          <t>DOC-C02-004: 43 linhas, status 'ATIVO' 33 e 'CONCLUIDO' 10, distribuidas em 10 areas (APP 6, Editorial 6, GTM 5, Produtos Fisicos 5, Infoprodutos 5, Showroom 5, Dados 4, Studio 4, Freeze/Launch 2, Governanca 1).</t>
        </is>
      </c>
      <c r="J144" s="17" t="inlineStr">
        <is>
          <t>strong</t>
        </is>
      </c>
      <c r="K144" s="17" t="inlineStr">
        <is>
          <t>0.85</t>
        </is>
      </c>
      <c r="L144" s="17" t="inlineStr">
        <is>
          <t>fact</t>
        </is>
      </c>
    </row>
    <row r="145">
      <c r="A145" s="17" t="inlineStr">
        <is>
          <t>EV-133388ba59</t>
        </is>
      </c>
      <c r="B145" s="17" t="inlineStr">
        <is>
          <t>strategic_analysis</t>
        </is>
      </c>
      <c r="C145" s="17" t="inlineStr">
        <is>
          <t>r1</t>
        </is>
      </c>
      <c r="D145" s="18" t="inlineStr">
        <is>
          <t>O cliente e definido por comportamento observavel e por um evento de valor unico.</t>
        </is>
      </c>
      <c r="E145" s="17" t="inlineStr">
        <is>
          <t>SA-08A</t>
        </is>
      </c>
      <c r="F145" s="17" t="inlineStr">
        <is>
          <t>customer</t>
        </is>
      </c>
      <c r="G145" s="17" t="inlineStr">
        <is>
          <t>ECO-01</t>
        </is>
      </c>
      <c r="H145" s="17" t="inlineStr">
        <is>
          <t>DOC-C07-009</t>
        </is>
      </c>
      <c r="I145" s="18" t="inlineStr">
        <is>
          <t>ICP-01 (comportamento, sem diagnostico) combinado a VALUE_EVENT-01 e aos endpoints funcionais time_to_next_action, resume_latency, completion_rate, context_reconstruction, execution_cycles_per_week e abandonment_rate.</t>
        </is>
      </c>
      <c r="J145" s="17" t="inlineStr">
        <is>
          <t>strong</t>
        </is>
      </c>
      <c r="K145" s="17" t="inlineStr">
        <is>
          <t>0.85</t>
        </is>
      </c>
      <c r="L145" s="17" t="inlineStr">
        <is>
          <t>fact</t>
        </is>
      </c>
    </row>
    <row r="146">
      <c r="A146" s="17" t="inlineStr">
        <is>
          <t>EV-efff68c9b2</t>
        </is>
      </c>
      <c r="B146" s="17" t="inlineStr">
        <is>
          <t>strategic_analysis</t>
        </is>
      </c>
      <c r="C146" s="17" t="inlineStr">
        <is>
          <t>r1</t>
        </is>
      </c>
      <c r="D146" s="18" t="inlineStr">
        <is>
          <t>A companhia e um operador unico que sustenta simultaneamente app, blog, framework, servicos, infoprodutos, produtos fisicos e afiliados.</t>
        </is>
      </c>
      <c r="E146" s="17" t="inlineStr">
        <is>
          <t>SA-08B</t>
        </is>
      </c>
      <c r="F146" s="17" t="inlineStr">
        <is>
          <t>company</t>
        </is>
      </c>
      <c r="G146" s="17" t="inlineStr">
        <is>
          <t>ECO-01</t>
        </is>
      </c>
      <c r="H146" s="17" t="inlineStr">
        <is>
          <t>DOC-C05-001</t>
        </is>
      </c>
      <c r="I146" s="18" t="inlineStr">
        <is>
          <t>DOC-C05-001 e DOC-C06-001 descrevem sete frentes com capacidade declarada de 6h/dia e 60h comprometidas em 12 dias; DOC-C02-004 confirma 10 areas de entregavel simultaneas.</t>
        </is>
      </c>
      <c r="J146" s="17" t="inlineStr">
        <is>
          <t>strong</t>
        </is>
      </c>
      <c r="K146" s="17" t="inlineStr">
        <is>
          <t>0.85</t>
        </is>
      </c>
      <c r="L146" s="17" t="inlineStr">
        <is>
          <t>inference</t>
        </is>
      </c>
    </row>
    <row r="147">
      <c r="A147" s="17" t="inlineStr">
        <is>
          <t>EV-ac7a297f76</t>
        </is>
      </c>
      <c r="B147" s="17" t="inlineStr">
        <is>
          <t>strategic_analysis</t>
        </is>
      </c>
      <c r="C147" s="17" t="inlineStr">
        <is>
          <t>r1</t>
        </is>
      </c>
      <c r="D147" s="18" t="inlineStr">
        <is>
          <t>A companhia e um operador unico que sustenta simultaneamente app, blog, framework, servicos, infoprodutos, produtos fisicos e afiliados.</t>
        </is>
      </c>
      <c r="E147" s="17" t="inlineStr">
        <is>
          <t>SA-08B</t>
        </is>
      </c>
      <c r="F147" s="17" t="inlineStr">
        <is>
          <t>company</t>
        </is>
      </c>
      <c r="G147" s="17" t="inlineStr">
        <is>
          <t>ECO-01</t>
        </is>
      </c>
      <c r="H147" s="17" t="inlineStr">
        <is>
          <t>DOC-C06-001</t>
        </is>
      </c>
      <c r="I147" s="18" t="inlineStr">
        <is>
          <t>DOC-C05-001 e DOC-C06-001 descrevem sete frentes com capacidade declarada de 6h/dia e 60h comprometidas em 12 dias; DOC-C02-004 confirma 10 areas de entregavel simultaneas.</t>
        </is>
      </c>
      <c r="J147" s="17" t="inlineStr">
        <is>
          <t>strong</t>
        </is>
      </c>
      <c r="K147" s="17" t="inlineStr">
        <is>
          <t>0.85</t>
        </is>
      </c>
      <c r="L147" s="17" t="inlineStr">
        <is>
          <t>inference</t>
        </is>
      </c>
    </row>
    <row r="148">
      <c r="A148" s="17" t="inlineStr">
        <is>
          <t>EV-8fdf4e01d3</t>
        </is>
      </c>
      <c r="B148" s="17" t="inlineStr">
        <is>
          <t>strategic_analysis</t>
        </is>
      </c>
      <c r="C148" s="17" t="inlineStr">
        <is>
          <t>r1</t>
        </is>
      </c>
      <c r="D148" s="18" t="inlineStr">
        <is>
          <t>A companhia e um operador unico que sustenta simultaneamente app, blog, framework, servicos, infoprodutos, produtos fisicos e afiliados.</t>
        </is>
      </c>
      <c r="E148" s="17" t="inlineStr">
        <is>
          <t>SA-08B</t>
        </is>
      </c>
      <c r="F148" s="17" t="inlineStr">
        <is>
          <t>company</t>
        </is>
      </c>
      <c r="G148" s="17" t="inlineStr">
        <is>
          <t>ECO-01</t>
        </is>
      </c>
      <c r="H148" s="17" t="inlineStr">
        <is>
          <t>DOC-C02-004</t>
        </is>
      </c>
      <c r="I148" s="18" t="inlineStr">
        <is>
          <t>DOC-C05-001 e DOC-C06-001 descrevem sete frentes com capacidade declarada de 6h/dia e 60h comprometidas em 12 dias; DOC-C02-004 confirma 10 areas de entregavel simultaneas.</t>
        </is>
      </c>
      <c r="J148" s="17" t="inlineStr">
        <is>
          <t>strong</t>
        </is>
      </c>
      <c r="K148" s="17" t="inlineStr">
        <is>
          <t>0.85</t>
        </is>
      </c>
      <c r="L148" s="17" t="inlineStr">
        <is>
          <t>inference</t>
        </is>
      </c>
    </row>
    <row r="149">
      <c r="A149" s="17" t="inlineStr">
        <is>
          <t>EV-7cf257a1f6</t>
        </is>
      </c>
      <c r="B149" s="17" t="inlineStr">
        <is>
          <t>strategic_analysis</t>
        </is>
      </c>
      <c r="C149" s="17" t="inlineStr">
        <is>
          <t>r1</t>
        </is>
      </c>
      <c r="D149" s="18" t="inlineStr">
        <is>
          <t>O concorrente relevante do blog nao e outro blog de TDAH, e sim a categoria de conteudo de produtividade e a de conteudo clinico.</t>
        </is>
      </c>
      <c r="E149" s="17" t="inlineStr">
        <is>
          <t>SA-08C</t>
        </is>
      </c>
      <c r="F149" s="17" t="inlineStr">
        <is>
          <t>competitor</t>
        </is>
      </c>
      <c r="G149" s="17" t="inlineStr">
        <is>
          <t>ECO-02</t>
        </is>
      </c>
      <c r="H149" s="17" t="inlineStr">
        <is>
          <t>DOC-C01-005</t>
        </is>
      </c>
      <c r="I149" s="18" t="inlineStr">
        <is>
          <t>DOC-C01-005: 'Eu nao posicionaria Risco Cognitivo como mais um blog sobre TDAH'; QL-0017 divide o setor em midia/autoridade medica, infoprodutores, e-commerce de nicho e instituicoes/clinicas.</t>
        </is>
      </c>
      <c r="J149" s="17" t="inlineStr">
        <is>
          <t>moderate</t>
        </is>
      </c>
      <c r="K149" s="17" t="inlineStr">
        <is>
          <t>0.75</t>
        </is>
      </c>
      <c r="L149" s="17" t="inlineStr">
        <is>
          <t>inference</t>
        </is>
      </c>
    </row>
    <row r="150">
      <c r="A150" s="17" t="inlineStr">
        <is>
          <t>EV-d013e39b94</t>
        </is>
      </c>
      <c r="B150" s="17" t="inlineStr">
        <is>
          <t>strategic_analysis</t>
        </is>
      </c>
      <c r="C150" s="17" t="inlineStr">
        <is>
          <t>r1</t>
        </is>
      </c>
      <c r="D150" s="18" t="inlineStr">
        <is>
          <t>O concorrente relevante do blog nao e outro blog de TDAH, e sim a categoria de conteudo de produtividade e a de conteudo clinico.</t>
        </is>
      </c>
      <c r="E150" s="17" t="inlineStr">
        <is>
          <t>SA-08C</t>
        </is>
      </c>
      <c r="F150" s="17" t="inlineStr">
        <is>
          <t>competitor</t>
        </is>
      </c>
      <c r="G150" s="17" t="inlineStr">
        <is>
          <t>ECO-02</t>
        </is>
      </c>
      <c r="H150" s="17" t="inlineStr">
        <is>
          <t>DOC-C07-007</t>
        </is>
      </c>
      <c r="I150" s="18" t="inlineStr">
        <is>
          <t>DOC-C01-005: 'Eu nao posicionaria Risco Cognitivo como mais um blog sobre TDAH'; QL-0017 divide o setor em midia/autoridade medica, infoprodutores, e-commerce de nicho e instituicoes/clinicas.</t>
        </is>
      </c>
      <c r="J150" s="17" t="inlineStr">
        <is>
          <t>moderate</t>
        </is>
      </c>
      <c r="K150" s="17" t="inlineStr">
        <is>
          <t>0.75</t>
        </is>
      </c>
      <c r="L150" s="17" t="inlineStr">
        <is>
          <t>inference</t>
        </is>
      </c>
    </row>
    <row r="151">
      <c r="A151" s="17" t="inlineStr">
        <is>
          <t>EV-a86662934e</t>
        </is>
      </c>
      <c r="B151" s="17" t="inlineStr">
        <is>
          <t>strategic_analysis</t>
        </is>
      </c>
      <c r="C151" s="17" t="inlineStr">
        <is>
          <t>r1</t>
        </is>
      </c>
      <c r="D151" s="18" t="inlineStr">
        <is>
          <t>Forca: produto real em producao com governanca de evidencia e 22 decisoes operacionais documentadas.</t>
        </is>
      </c>
      <c r="E151" s="17" t="inlineStr">
        <is>
          <t>SA-09A</t>
        </is>
      </c>
      <c r="F151" s="17" t="inlineStr">
        <is>
          <t>strength</t>
        </is>
      </c>
      <c r="G151" s="17" t="inlineStr">
        <is>
          <t>ECO-01</t>
        </is>
      </c>
      <c r="H151" s="17" t="inlineStr">
        <is>
          <t>DOC-C04-002</t>
        </is>
      </c>
      <c r="I151" s="18" t="inlineStr">
        <is>
          <t>DOC-C04-002 comprova repositorio, CI e testes; DOC-C07-009 registra '22 decisoes operacionais: 15 produto/seguranca + 7 negocio/pesquisa'.</t>
        </is>
      </c>
      <c r="J151" s="17" t="inlineStr">
        <is>
          <t>strong</t>
        </is>
      </c>
      <c r="K151" s="17" t="inlineStr">
        <is>
          <t>0.85</t>
        </is>
      </c>
      <c r="L151" s="17" t="inlineStr">
        <is>
          <t>fact</t>
        </is>
      </c>
    </row>
    <row r="152">
      <c r="A152" s="17" t="inlineStr">
        <is>
          <t>EV-299e42a19a</t>
        </is>
      </c>
      <c r="B152" s="17" t="inlineStr">
        <is>
          <t>strategic_analysis</t>
        </is>
      </c>
      <c r="C152" s="17" t="inlineStr">
        <is>
          <t>r1</t>
        </is>
      </c>
      <c r="D152" s="18" t="inlineStr">
        <is>
          <t>Forca: produto real em producao com governanca de evidencia e 22 decisoes operacionais documentadas.</t>
        </is>
      </c>
      <c r="E152" s="17" t="inlineStr">
        <is>
          <t>SA-09A</t>
        </is>
      </c>
      <c r="F152" s="17" t="inlineStr">
        <is>
          <t>strength</t>
        </is>
      </c>
      <c r="G152" s="17" t="inlineStr">
        <is>
          <t>ECO-01</t>
        </is>
      </c>
      <c r="H152" s="17" t="inlineStr">
        <is>
          <t>DOC-C07-009</t>
        </is>
      </c>
      <c r="I152" s="18" t="inlineStr">
        <is>
          <t>DOC-C04-002 comprova repositorio, CI e testes; DOC-C07-009 registra '22 decisoes operacionais: 15 produto/seguranca + 7 negocio/pesquisa'.</t>
        </is>
      </c>
      <c r="J152" s="17" t="inlineStr">
        <is>
          <t>strong</t>
        </is>
      </c>
      <c r="K152" s="17" t="inlineStr">
        <is>
          <t>0.85</t>
        </is>
      </c>
      <c r="L152" s="17" t="inlineStr">
        <is>
          <t>fact</t>
        </is>
      </c>
    </row>
    <row r="153">
      <c r="A153" s="17" t="inlineStr">
        <is>
          <t>EV-0208d2524f</t>
        </is>
      </c>
      <c r="B153" s="17" t="inlineStr">
        <is>
          <t>strategic_analysis</t>
        </is>
      </c>
      <c r="C153" s="17" t="inlineStr">
        <is>
          <t>r1</t>
        </is>
      </c>
      <c r="D153" s="18" t="inlineStr">
        <is>
          <t>Fraqueza: zero registros no gate estrito de verificacao e nenhum cliente pagante.</t>
        </is>
      </c>
      <c r="E153" s="17" t="inlineStr">
        <is>
          <t>SA-09B</t>
        </is>
      </c>
      <c r="F153" s="17" t="inlineStr">
        <is>
          <t>weakness</t>
        </is>
      </c>
      <c r="G153" s="17" t="inlineStr">
        <is>
          <t>ECO-01</t>
        </is>
      </c>
      <c r="H153" s="17" t="inlineStr">
        <is>
          <t>DOC-C07-009</t>
        </is>
      </c>
      <c r="I153" s="18" t="inlineStr">
        <is>
          <t>DOC-C07-009: 'Strict VERIFIED 0 - gate factual permanece preservado'; '161 evidence candidates'; 'governed_verified_links: 0'; gaps de CAC/LTV/PMF com 'remaining: Campanhas e clientes pagantes' e 'Cohort real'.</t>
        </is>
      </c>
      <c r="J153" s="17" t="inlineStr">
        <is>
          <t>strong</t>
        </is>
      </c>
      <c r="K153" s="17" t="inlineStr">
        <is>
          <t>0.9</t>
        </is>
      </c>
      <c r="L153" s="17" t="inlineStr">
        <is>
          <t>fact</t>
        </is>
      </c>
    </row>
    <row r="154">
      <c r="A154" s="17" t="inlineStr">
        <is>
          <t>EV-37a2ed6d65</t>
        </is>
      </c>
      <c r="B154" s="17" t="inlineStr">
        <is>
          <t>strategic_analysis</t>
        </is>
      </c>
      <c r="C154" s="17" t="inlineStr">
        <is>
          <t>r1</t>
        </is>
      </c>
      <c r="D154" s="18" t="inlineStr">
        <is>
          <t>Oportunidade: converter a matriz GP-01..GP-11 em white paper citavel antes que o campo se popule.</t>
        </is>
      </c>
      <c r="E154" s="17" t="inlineStr">
        <is>
          <t>SA-09C</t>
        </is>
      </c>
      <c r="F154" s="17" t="inlineStr">
        <is>
          <t>opportunity</t>
        </is>
      </c>
      <c r="G154" s="17" t="inlineStr">
        <is>
          <t>ECO-03</t>
        </is>
      </c>
      <c r="H154" s="17" t="inlineStr">
        <is>
          <t>DOC-C02-015</t>
        </is>
      </c>
      <c r="I154" s="18" t="inlineStr">
        <is>
          <t>DOC-C02-015 preve 'White paper v1 de 15-30 paginas' e 'DOI somente apos estabilizacao'; DOC-C02-042 registra que a APM ja publicou formulacao proxima em 26/08/2026.</t>
        </is>
      </c>
      <c r="J154" s="17" t="inlineStr">
        <is>
          <t>moderate</t>
        </is>
      </c>
      <c r="K154" s="17" t="inlineStr">
        <is>
          <t>0.75</t>
        </is>
      </c>
      <c r="L154" s="17" t="inlineStr">
        <is>
          <t>inference</t>
        </is>
      </c>
    </row>
    <row r="155">
      <c r="A155" s="17" t="inlineStr">
        <is>
          <t>EV-d75bc10167</t>
        </is>
      </c>
      <c r="B155" s="17" t="inlineStr">
        <is>
          <t>strategic_analysis</t>
        </is>
      </c>
      <c r="C155" s="17" t="inlineStr">
        <is>
          <t>r1</t>
        </is>
      </c>
      <c r="D155" s="18" t="inlineStr">
        <is>
          <t>Oportunidade: converter a matriz GP-01..GP-11 em white paper citavel antes que o campo se popule.</t>
        </is>
      </c>
      <c r="E155" s="17" t="inlineStr">
        <is>
          <t>SA-09C</t>
        </is>
      </c>
      <c r="F155" s="17" t="inlineStr">
        <is>
          <t>opportunity</t>
        </is>
      </c>
      <c r="G155" s="17" t="inlineStr">
        <is>
          <t>ECO-03</t>
        </is>
      </c>
      <c r="H155" s="17" t="inlineStr">
        <is>
          <t>DOC-C02-042</t>
        </is>
      </c>
      <c r="I155" s="18" t="inlineStr">
        <is>
          <t>DOC-C02-015 preve 'White paper v1 de 15-30 paginas' e 'DOI somente apos estabilizacao'; DOC-C02-042 registra que a APM ja publicou formulacao proxima em 26/08/2026.</t>
        </is>
      </c>
      <c r="J155" s="17" t="inlineStr">
        <is>
          <t>moderate</t>
        </is>
      </c>
      <c r="K155" s="17" t="inlineStr">
        <is>
          <t>0.75</t>
        </is>
      </c>
      <c r="L155" s="17" t="inlineStr">
        <is>
          <t>inference</t>
        </is>
      </c>
    </row>
    <row r="156">
      <c r="A156" s="17" t="inlineStr">
        <is>
          <t>EV-89c4702cf4</t>
        </is>
      </c>
      <c r="B156" s="17" t="inlineStr">
        <is>
          <t>strategic_analysis</t>
        </is>
      </c>
      <c r="C156" s="17" t="inlineStr">
        <is>
          <t>r1</t>
        </is>
      </c>
      <c r="D156" s="18" t="inlineStr">
        <is>
          <t>Oportunidade: converter a matriz GP-01..GP-11 em white paper citavel antes que o campo se popule.</t>
        </is>
      </c>
      <c r="E156" s="17" t="inlineStr">
        <is>
          <t>SA-09C</t>
        </is>
      </c>
      <c r="F156" s="17" t="inlineStr">
        <is>
          <t>opportunity</t>
        </is>
      </c>
      <c r="G156" s="17" t="inlineStr">
        <is>
          <t>ECO-03</t>
        </is>
      </c>
      <c r="H156" s="17" t="inlineStr">
        <is>
          <t>DOC-C07-003</t>
        </is>
      </c>
      <c r="I156" s="18" t="inlineStr">
        <is>
          <t>DOC-C02-015 preve 'White paper v1 de 15-30 paginas' e 'DOI somente apos estabilizacao'; DOC-C02-042 registra que a APM ja publicou formulacao proxima em 26/08/2026.</t>
        </is>
      </c>
      <c r="J156" s="17" t="inlineStr">
        <is>
          <t>moderate</t>
        </is>
      </c>
      <c r="K156" s="17" t="inlineStr">
        <is>
          <t>0.75</t>
        </is>
      </c>
      <c r="L156" s="17" t="inlineStr">
        <is>
          <t>inference</t>
        </is>
      </c>
    </row>
    <row r="157">
      <c r="A157" s="17" t="inlineStr">
        <is>
          <t>EV-af298ecde1</t>
        </is>
      </c>
      <c r="B157" s="17" t="inlineStr">
        <is>
          <t>strategic_analysis</t>
        </is>
      </c>
      <c r="C157" s="17" t="inlineStr">
        <is>
          <t>r1</t>
        </is>
      </c>
      <c r="D157" s="18" t="inlineStr">
        <is>
          <t>Ameaca: saturacao e desinformacao no tema podem derrubar a confianca do publico.</t>
        </is>
      </c>
      <c r="E157" s="17" t="inlineStr">
        <is>
          <t>SA-09D</t>
        </is>
      </c>
      <c r="F157" s="17" t="inlineStr">
        <is>
          <t>threat</t>
        </is>
      </c>
      <c r="G157" s="17" t="inlineStr">
        <is>
          <t>ECO-02</t>
        </is>
      </c>
      <c r="H157" s="17" t="inlineStr">
        <is>
          <t>DOC-C07-007</t>
        </is>
      </c>
      <c r="I157" s="18" t="inlineStr">
        <is>
          <t>QL-0015: 'Conteudo superficial e desinformacao sao tratados como riscos de saturacao e perda de confianca'; QL-0013 descreve 'transicao de conscientizacao acelerada para maturacao e monetizacao do mercado'.</t>
        </is>
      </c>
      <c r="J157" s="17" t="inlineStr">
        <is>
          <t>moderate</t>
        </is>
      </c>
      <c r="K157" s="17" t="inlineStr">
        <is>
          <t>0.7</t>
        </is>
      </c>
      <c r="L157" s="17" t="inlineStr">
        <is>
          <t>fact</t>
        </is>
      </c>
    </row>
    <row r="158">
      <c r="A158" s="17" t="inlineStr">
        <is>
          <t>EV-65d289dfc3</t>
        </is>
      </c>
      <c r="B158" s="17" t="inlineStr">
        <is>
          <t>strategic_analysis</t>
        </is>
      </c>
      <c r="C158" s="17" t="inlineStr">
        <is>
          <t>r1</t>
        </is>
      </c>
      <c r="D158" s="18" t="inlineStr">
        <is>
          <t>Ameaca: uma unica peca de copy com claim clinico pode acionar risco regulatorio e reputacional simultaneo.</t>
        </is>
      </c>
      <c r="E158" s="17" t="inlineStr">
        <is>
          <t>SA-09D</t>
        </is>
      </c>
      <c r="F158" s="17" t="inlineStr">
        <is>
          <t>threat</t>
        </is>
      </c>
      <c r="G158" s="17" t="inlineStr">
        <is>
          <t>ECO-01</t>
        </is>
      </c>
      <c r="H158" s="17" t="inlineStr">
        <is>
          <t>DOC-C07-009</t>
        </is>
      </c>
      <c r="I158" s="18" t="inlineStr">
        <is>
          <t>CLAIM-01 exige 'Revisao juridica/regulatoria da copy final e auditoria de implementacao'; a lista de proibidos inclui 'Cientificamente comprovado para TDAH', e o funil de lancamento parte de conteudo sobre TDAH.</t>
        </is>
      </c>
      <c r="J158" s="17" t="inlineStr">
        <is>
          <t>strong</t>
        </is>
      </c>
      <c r="K158" s="17" t="inlineStr">
        <is>
          <t>0.85</t>
        </is>
      </c>
      <c r="L158" s="17" t="inlineStr">
        <is>
          <t>inference</t>
        </is>
      </c>
    </row>
    <row r="159">
      <c r="A159" s="17" t="inlineStr">
        <is>
          <t>EV-5b6360a71b</t>
        </is>
      </c>
      <c r="B159" s="17" t="inlineStr">
        <is>
          <t>strategic_analysis</t>
        </is>
      </c>
      <c r="C159" s="17" t="inlineStr">
        <is>
          <t>r1</t>
        </is>
      </c>
      <c r="D159" s="18" t="inlineStr">
        <is>
          <t>Ameaca: uma unica peca de copy com claim clinico pode acionar risco regulatorio e reputacional simultaneo.</t>
        </is>
      </c>
      <c r="E159" s="17" t="inlineStr">
        <is>
          <t>SA-09D</t>
        </is>
      </c>
      <c r="F159" s="17" t="inlineStr">
        <is>
          <t>threat</t>
        </is>
      </c>
      <c r="G159" s="17" t="inlineStr">
        <is>
          <t>ECO-01</t>
        </is>
      </c>
      <c r="H159" s="17" t="inlineStr">
        <is>
          <t>DOC-C10-011</t>
        </is>
      </c>
      <c r="I159" s="18" t="inlineStr">
        <is>
          <t>CLAIM-01 exige 'Revisao juridica/regulatoria da copy final e auditoria de implementacao'; a lista de proibidos inclui 'Cientificamente comprovado para TDAH', e o funil de lancamento parte de conteudo sobre TDAH.</t>
        </is>
      </c>
      <c r="J159" s="17" t="inlineStr">
        <is>
          <t>strong</t>
        </is>
      </c>
      <c r="K159" s="17" t="inlineStr">
        <is>
          <t>0.85</t>
        </is>
      </c>
      <c r="L159" s="17" t="inlineStr">
        <is>
          <t>inference</t>
        </is>
      </c>
    </row>
    <row r="160">
      <c r="A160" s="17" t="inlineStr">
        <is>
          <t>EV-37730bf8f6</t>
        </is>
      </c>
      <c r="B160" s="17" t="inlineStr">
        <is>
          <t>strategic_analysis</t>
        </is>
      </c>
      <c r="C160" s="17" t="inlineStr">
        <is>
          <t>r1</t>
        </is>
      </c>
      <c r="D160" s="18" t="inlineStr">
        <is>
          <t>Ameaca: uma unica peca de copy com claim clinico pode acionar risco regulatorio e reputacional simultaneo.</t>
        </is>
      </c>
      <c r="E160" s="17" t="inlineStr">
        <is>
          <t>SA-09D</t>
        </is>
      </c>
      <c r="F160" s="17" t="inlineStr">
        <is>
          <t>threat</t>
        </is>
      </c>
      <c r="G160" s="17" t="inlineStr">
        <is>
          <t>ECO-01</t>
        </is>
      </c>
      <c r="H160" s="17" t="inlineStr">
        <is>
          <t>DOC-C10-019</t>
        </is>
      </c>
      <c r="I160" s="18" t="inlineStr">
        <is>
          <t>CLAIM-01 exige 'Revisao juridica/regulatoria da copy final e auditoria de implementacao'; a lista de proibidos inclui 'Cientificamente comprovado para TDAH', e o funil de lancamento parte de conteudo sobre TDAH.</t>
        </is>
      </c>
      <c r="J160" s="17" t="inlineStr">
        <is>
          <t>strong</t>
        </is>
      </c>
      <c r="K160" s="17" t="inlineStr">
        <is>
          <t>0.85</t>
        </is>
      </c>
      <c r="L160" s="17" t="inlineStr">
        <is>
          <t>inference</t>
        </is>
      </c>
    </row>
    <row r="161">
      <c r="A161" s="17" t="inlineStr">
        <is>
          <t>EV-b71017d8a6</t>
        </is>
      </c>
      <c r="B161" s="17" t="inlineStr">
        <is>
          <t>strategic_analysis</t>
        </is>
      </c>
      <c r="C161" s="17" t="inlineStr">
        <is>
          <t>r1</t>
        </is>
      </c>
      <c r="D161" s="18" t="inlineStr">
        <is>
          <t>Fraqueza: a oferta de servico esta incompleta em quatro elementos criticos as vesperas do lancamento.</t>
        </is>
      </c>
      <c r="E161" s="17" t="inlineStr">
        <is>
          <t>SA-09B</t>
        </is>
      </c>
      <c r="F161" s="17" t="inlineStr">
        <is>
          <t>weakness</t>
        </is>
      </c>
      <c r="G161" s="17" t="inlineStr">
        <is>
          <t>ECO-07</t>
        </is>
      </c>
      <c r="H161" s="17" t="inlineStr">
        <is>
          <t>DOC-C09-006</t>
        </is>
      </c>
      <c r="I161" s="18" t="inlineStr">
        <is>
          <t>DOC-C09-006 lista como pendentes: 'pagina institucional de servicos; pagina Estudio; formulario visual inicial; tres familias de servico; condicao de preco inicial; demonstracoes de casos proprios; chamada CH-006 funcionando'.</t>
        </is>
      </c>
      <c r="J161" s="17" t="inlineStr">
        <is>
          <t>strong</t>
        </is>
      </c>
      <c r="K161" s="17" t="inlineStr">
        <is>
          <t>0.9</t>
        </is>
      </c>
      <c r="L161" s="17" t="inlineStr">
        <is>
          <t>fact</t>
        </is>
      </c>
    </row>
    <row r="162">
      <c r="A162" s="17" t="inlineStr">
        <is>
          <t>EV-302dc04f3d</t>
        </is>
      </c>
      <c r="B162" s="17" t="inlineStr">
        <is>
          <t>strategic_analysis</t>
        </is>
      </c>
      <c r="C162" s="17" t="inlineStr">
        <is>
          <t>r1</t>
        </is>
      </c>
      <c r="D162" s="18" t="inlineStr">
        <is>
          <t>Fraqueza: a oferta de servico esta incompleta em quatro elementos criticos as vesperas do lancamento.</t>
        </is>
      </c>
      <c r="E162" s="17" t="inlineStr">
        <is>
          <t>SA-09B</t>
        </is>
      </c>
      <c r="F162" s="17" t="inlineStr">
        <is>
          <t>weakness</t>
        </is>
      </c>
      <c r="G162" s="17" t="inlineStr">
        <is>
          <t>ECO-07</t>
        </is>
      </c>
      <c r="H162" s="17" t="inlineStr">
        <is>
          <t>DOC-C12-006</t>
        </is>
      </c>
      <c r="I162" s="18" t="inlineStr">
        <is>
          <t>DOC-C09-006 lista como pendentes: 'pagina institucional de servicos; pagina Estudio; formulario visual inicial; tres familias de servico; condicao de preco inicial; demonstracoes de casos proprios; chamada CH-006 funcionando'.</t>
        </is>
      </c>
      <c r="J162" s="17" t="inlineStr">
        <is>
          <t>strong</t>
        </is>
      </c>
      <c r="K162" s="17" t="inlineStr">
        <is>
          <t>0.9</t>
        </is>
      </c>
      <c r="L162" s="17" t="inlineStr">
        <is>
          <t>fact</t>
        </is>
      </c>
    </row>
    <row r="163">
      <c r="A163" s="17" t="inlineStr">
        <is>
          <t>EV-f662165e11</t>
        </is>
      </c>
      <c r="B163" s="17" t="inlineStr">
        <is>
          <t>strategic_analysis</t>
        </is>
      </c>
      <c r="C163" s="17" t="inlineStr">
        <is>
          <t>r1</t>
        </is>
      </c>
      <c r="D163" s="18" t="inlineStr">
        <is>
          <t>Fraqueza: a oferta de servico esta incompleta em quatro elementos criticos as vesperas do lancamento.</t>
        </is>
      </c>
      <c r="E163" s="17" t="inlineStr">
        <is>
          <t>SA-09B</t>
        </is>
      </c>
      <c r="F163" s="17" t="inlineStr">
        <is>
          <t>weakness</t>
        </is>
      </c>
      <c r="G163" s="17" t="inlineStr">
        <is>
          <t>ECO-07</t>
        </is>
      </c>
      <c r="H163" s="17" t="inlineStr">
        <is>
          <t>DOC-C12-007</t>
        </is>
      </c>
      <c r="I163" s="18" t="inlineStr">
        <is>
          <t>DOC-C09-006 lista como pendentes: 'pagina institucional de servicos; pagina Estudio; formulario visual inicial; tres familias de servico; condicao de preco inicial; demonstracoes de casos proprios; chamada CH-006 funcionando'.</t>
        </is>
      </c>
      <c r="J163" s="17" t="inlineStr">
        <is>
          <t>strong</t>
        </is>
      </c>
      <c r="K163" s="17" t="inlineStr">
        <is>
          <t>0.9</t>
        </is>
      </c>
      <c r="L163" s="17" t="inlineStr">
        <is>
          <t>fact</t>
        </is>
      </c>
    </row>
    <row r="164">
      <c r="A164" s="17" t="inlineStr">
        <is>
          <t>EV-2ca564a394</t>
        </is>
      </c>
      <c r="B164" s="17" t="inlineStr">
        <is>
          <t>strategic_analysis</t>
        </is>
      </c>
      <c r="C164" s="17" t="inlineStr">
        <is>
          <t>r1</t>
        </is>
      </c>
      <c r="D164" s="18" t="inlineStr">
        <is>
          <t>Oportunidade: o proprio EXECUTAR e o showroom do servico, eliminando o custo de portfolio inicial.</t>
        </is>
      </c>
      <c r="E164" s="17" t="inlineStr">
        <is>
          <t>SA-09C</t>
        </is>
      </c>
      <c r="F164" s="17" t="inlineStr">
        <is>
          <t>opportunity</t>
        </is>
      </c>
      <c r="G164" s="17" t="inlineStr">
        <is>
          <t>ECO-07</t>
        </is>
      </c>
      <c r="H164" s="17" t="inlineStr">
        <is>
          <t>DOC-C05-001</t>
        </is>
      </c>
      <c r="I164" s="18" t="inlineStr">
        <is>
          <t>DOC-C05-001: 'O app Executar, o Agente 007, skills e plugins funcionam como provas visuais e como principal showroom das capacidades oferecidas'.</t>
        </is>
      </c>
      <c r="J164" s="17" t="inlineStr">
        <is>
          <t>strong</t>
        </is>
      </c>
      <c r="K164" s="17" t="inlineStr">
        <is>
          <t>0.85</t>
        </is>
      </c>
      <c r="L164" s="17" t="inlineStr">
        <is>
          <t>fact</t>
        </is>
      </c>
    </row>
    <row r="165">
      <c r="A165" s="17" t="inlineStr">
        <is>
          <t>EV-b504e2abae</t>
        </is>
      </c>
      <c r="B165" s="17" t="inlineStr">
        <is>
          <t>strategic_analysis</t>
        </is>
      </c>
      <c r="C165" s="17" t="inlineStr">
        <is>
          <t>r1</t>
        </is>
      </c>
      <c r="D165" s="18" t="inlineStr">
        <is>
          <t>Oportunidade: o proprio EXECUTAR e o showroom do servico, eliminando o custo de portfolio inicial.</t>
        </is>
      </c>
      <c r="E165" s="17" t="inlineStr">
        <is>
          <t>SA-09C</t>
        </is>
      </c>
      <c r="F165" s="17" t="inlineStr">
        <is>
          <t>opportunity</t>
        </is>
      </c>
      <c r="G165" s="17" t="inlineStr">
        <is>
          <t>ECO-07</t>
        </is>
      </c>
      <c r="H165" s="17" t="inlineStr">
        <is>
          <t>DOC-C11-010</t>
        </is>
      </c>
      <c r="I165" s="18" t="inlineStr">
        <is>
          <t>DOC-C05-001: 'O app Executar, o Agente 007, skills e plugins funcionam como provas visuais e como principal showroom das capacidades oferecidas'.</t>
        </is>
      </c>
      <c r="J165" s="17" t="inlineStr">
        <is>
          <t>strong</t>
        </is>
      </c>
      <c r="K165" s="17" t="inlineStr">
        <is>
          <t>0.85</t>
        </is>
      </c>
      <c r="L165" s="17" t="inlineStr">
        <is>
          <t>fact</t>
        </is>
      </c>
    </row>
    <row r="166">
      <c r="A166" s="17" t="inlineStr">
        <is>
          <t>EV-114ef84ac8</t>
        </is>
      </c>
      <c r="B166" s="17" t="inlineStr">
        <is>
          <t>strategic_analysis</t>
        </is>
      </c>
      <c r="C166" s="17" t="inlineStr">
        <is>
          <t>r1</t>
        </is>
      </c>
      <c r="D166" s="18" t="inlineStr">
        <is>
          <t>Nao ha base para pontuar atratividade de mercado do app: nenhum dos insumos de tamanho, crescimento ou rentabilidade esta verificado.</t>
        </is>
      </c>
      <c r="E166" s="17" t="inlineStr">
        <is>
          <t>SA-10A</t>
        </is>
      </c>
      <c r="F166" s="17" t="inlineStr">
        <is>
          <t>market_attractiveness</t>
        </is>
      </c>
      <c r="G166" s="17" t="inlineStr">
        <is>
          <t>ECO-01</t>
        </is>
      </c>
      <c r="H166" s="17" t="inlineStr">
        <is>
          <t>DOC-C07-007</t>
        </is>
      </c>
      <c r="I166" s="18" t="inlineStr">
        <is>
          <t>TAM/SAM/SOM sem metodologia (QT-0131/132/133), CAGR sem fonte resolvida (QT-0138/139), LTV e CAC apenas modelados, e 'Strict VERIFIED 0'.</t>
        </is>
      </c>
      <c r="J166" s="17" t="inlineStr">
        <is>
          <t>none</t>
        </is>
      </c>
      <c r="K166" s="17" t="inlineStr">
        <is>
          <t>0.85</t>
        </is>
      </c>
      <c r="L166" s="17" t="inlineStr">
        <is>
          <t>gap</t>
        </is>
      </c>
    </row>
    <row r="167">
      <c r="A167" s="17" t="inlineStr">
        <is>
          <t>EV-e2d63c3f20</t>
        </is>
      </c>
      <c r="B167" s="17" t="inlineStr">
        <is>
          <t>strategic_analysis</t>
        </is>
      </c>
      <c r="C167" s="17" t="inlineStr">
        <is>
          <t>r1</t>
        </is>
      </c>
      <c r="D167" s="18" t="inlineStr">
        <is>
          <t>Nao ha base para pontuar atratividade de mercado do app: nenhum dos insumos de tamanho, crescimento ou rentabilidade esta verificado.</t>
        </is>
      </c>
      <c r="E167" s="17" t="inlineStr">
        <is>
          <t>SA-10A</t>
        </is>
      </c>
      <c r="F167" s="17" t="inlineStr">
        <is>
          <t>market_attractiveness</t>
        </is>
      </c>
      <c r="G167" s="17" t="inlineStr">
        <is>
          <t>ECO-01</t>
        </is>
      </c>
      <c r="H167" s="17" t="inlineStr">
        <is>
          <t>DOC-C07-009</t>
        </is>
      </c>
      <c r="I167" s="18" t="inlineStr">
        <is>
          <t>TAM/SAM/SOM sem metodologia (QT-0131/132/133), CAGR sem fonte resolvida (QT-0138/139), LTV e CAC apenas modelados, e 'Strict VERIFIED 0'.</t>
        </is>
      </c>
      <c r="J167" s="17" t="inlineStr">
        <is>
          <t>none</t>
        </is>
      </c>
      <c r="K167" s="17" t="inlineStr">
        <is>
          <t>0.85</t>
        </is>
      </c>
      <c r="L167" s="17" t="inlineStr">
        <is>
          <t>gap</t>
        </is>
      </c>
    </row>
    <row r="168">
      <c r="A168" s="17" t="inlineStr">
        <is>
          <t>EV-da200e8c27</t>
        </is>
      </c>
      <c r="B168" s="17" t="inlineStr">
        <is>
          <t>strategic_analysis</t>
        </is>
      </c>
      <c r="C168" s="17" t="inlineStr">
        <is>
          <t>r1</t>
        </is>
      </c>
      <c r="D168" s="18" t="inlineStr">
        <is>
          <t>A atratividade do territorio de framework e sustentada por evidencia de problema, nao por evidencia de mercado.</t>
        </is>
      </c>
      <c r="E168" s="17" t="inlineStr">
        <is>
          <t>SA-10A</t>
        </is>
      </c>
      <c r="F168" s="17" t="inlineStr">
        <is>
          <t>market_attractiveness</t>
        </is>
      </c>
      <c r="G168" s="17" t="inlineStr">
        <is>
          <t>ECO-03</t>
        </is>
      </c>
      <c r="H168" s="17" t="inlineStr">
        <is>
          <t>DOC-C01-005</t>
        </is>
      </c>
      <c r="I168" s="18" t="inlineStr">
        <is>
          <t>DOC-C01-005: 'A evidencia disponivel sustenta claramente a existencia do problema social. O que ainda precisara ser demonstrado... e se organizar essas dificuldades atraves de um framework explicito... constitui uma abordagem util e empiricamente defensavel.'</t>
        </is>
      </c>
      <c r="J168" s="17" t="inlineStr">
        <is>
          <t>strong</t>
        </is>
      </c>
      <c r="K168" s="17" t="inlineStr">
        <is>
          <t>0.85</t>
        </is>
      </c>
      <c r="L168" s="17" t="inlineStr">
        <is>
          <t>fact</t>
        </is>
      </c>
    </row>
    <row r="169">
      <c r="A169" s="17" t="inlineStr">
        <is>
          <t>EV-10f3be20cf</t>
        </is>
      </c>
      <c r="B169" s="17" t="inlineStr">
        <is>
          <t>strategic_analysis</t>
        </is>
      </c>
      <c r="C169" s="17" t="inlineStr">
        <is>
          <t>r1</t>
        </is>
      </c>
      <c r="D169" s="18" t="inlineStr">
        <is>
          <t>A atratividade do territorio de framework e sustentada por evidencia de problema, nao por evidencia de mercado.</t>
        </is>
      </c>
      <c r="E169" s="17" t="inlineStr">
        <is>
          <t>SA-10A</t>
        </is>
      </c>
      <c r="F169" s="17" t="inlineStr">
        <is>
          <t>market_attractiveness</t>
        </is>
      </c>
      <c r="G169" s="17" t="inlineStr">
        <is>
          <t>ECO-03</t>
        </is>
      </c>
      <c r="H169" s="17" t="inlineStr">
        <is>
          <t>DOC-C02-031</t>
        </is>
      </c>
      <c r="I169" s="18" t="inlineStr">
        <is>
          <t>DOC-C01-005: 'A evidencia disponivel sustenta claramente a existencia do problema social. O que ainda precisara ser demonstrado... e se organizar essas dificuldades atraves de um framework explicito... constitui uma abordagem util e empiricamente defensavel.'</t>
        </is>
      </c>
      <c r="J169" s="17" t="inlineStr">
        <is>
          <t>strong</t>
        </is>
      </c>
      <c r="K169" s="17" t="inlineStr">
        <is>
          <t>0.85</t>
        </is>
      </c>
      <c r="L169" s="17" t="inlineStr">
        <is>
          <t>fact</t>
        </is>
      </c>
    </row>
    <row r="170">
      <c r="A170" s="17" t="inlineStr">
        <is>
          <t>EV-5858ae5fb6</t>
        </is>
      </c>
      <c r="B170" s="17" t="inlineStr">
        <is>
          <t>strategic_analysis</t>
        </is>
      </c>
      <c r="C170" s="17" t="inlineStr">
        <is>
          <t>r1</t>
        </is>
      </c>
      <c r="D170" s="18" t="inlineStr">
        <is>
          <t>A capacidade de vencer se apoia em ativos verificaveis: produto operante, base de evidencia governada e matriz de decisao de design.</t>
        </is>
      </c>
      <c r="E170" s="17" t="inlineStr">
        <is>
          <t>SA-10B</t>
        </is>
      </c>
      <c r="F170" s="17" t="inlineStr">
        <is>
          <t>ability_to_win</t>
        </is>
      </c>
      <c r="G170" s="17" t="inlineStr">
        <is>
          <t>ECO-01</t>
        </is>
      </c>
      <c r="H170" s="17" t="inlineStr">
        <is>
          <t>DOC-C04-002</t>
        </is>
      </c>
      <c r="I170" s="18" t="inlineStr">
        <is>
          <t>DOC-C04-002 (CI verde, 398 testes), DOC-C07-009 (22 decisoes, invariantes epistemicos), DOC-C07-003 (11 linhas GP com compensacao sistemica e decisao de produto).</t>
        </is>
      </c>
      <c r="J170" s="17" t="inlineStr">
        <is>
          <t>strong</t>
        </is>
      </c>
      <c r="K170" s="17" t="inlineStr">
        <is>
          <t>0.8</t>
        </is>
      </c>
      <c r="L170" s="17" t="inlineStr">
        <is>
          <t>inference</t>
        </is>
      </c>
    </row>
    <row r="171">
      <c r="A171" s="17" t="inlineStr">
        <is>
          <t>EV-12abb51284</t>
        </is>
      </c>
      <c r="B171" s="17" t="inlineStr">
        <is>
          <t>strategic_analysis</t>
        </is>
      </c>
      <c r="C171" s="17" t="inlineStr">
        <is>
          <t>r1</t>
        </is>
      </c>
      <c r="D171" s="18" t="inlineStr">
        <is>
          <t>A capacidade de vencer se apoia em ativos verificaveis: produto operante, base de evidencia governada e matriz de decisao de design.</t>
        </is>
      </c>
      <c r="E171" s="17" t="inlineStr">
        <is>
          <t>SA-10B</t>
        </is>
      </c>
      <c r="F171" s="17" t="inlineStr">
        <is>
          <t>ability_to_win</t>
        </is>
      </c>
      <c r="G171" s="17" t="inlineStr">
        <is>
          <t>ECO-01</t>
        </is>
      </c>
      <c r="H171" s="17" t="inlineStr">
        <is>
          <t>DOC-C07-009</t>
        </is>
      </c>
      <c r="I171" s="18" t="inlineStr">
        <is>
          <t>DOC-C04-002 (CI verde, 398 testes), DOC-C07-009 (22 decisoes, invariantes epistemicos), DOC-C07-003 (11 linhas GP com compensacao sistemica e decisao de produto).</t>
        </is>
      </c>
      <c r="J171" s="17" t="inlineStr">
        <is>
          <t>strong</t>
        </is>
      </c>
      <c r="K171" s="17" t="inlineStr">
        <is>
          <t>0.8</t>
        </is>
      </c>
      <c r="L171" s="17" t="inlineStr">
        <is>
          <t>inference</t>
        </is>
      </c>
    </row>
    <row r="172">
      <c r="A172" s="17" t="inlineStr">
        <is>
          <t>EV-e50299cb37</t>
        </is>
      </c>
      <c r="B172" s="17" t="inlineStr">
        <is>
          <t>strategic_analysis</t>
        </is>
      </c>
      <c r="C172" s="17" t="inlineStr">
        <is>
          <t>r1</t>
        </is>
      </c>
      <c r="D172" s="18" t="inlineStr">
        <is>
          <t>A capacidade de vencer se apoia em ativos verificaveis: produto operante, base de evidencia governada e matriz de decisao de design.</t>
        </is>
      </c>
      <c r="E172" s="17" t="inlineStr">
        <is>
          <t>SA-10B</t>
        </is>
      </c>
      <c r="F172" s="17" t="inlineStr">
        <is>
          <t>ability_to_win</t>
        </is>
      </c>
      <c r="G172" s="17" t="inlineStr">
        <is>
          <t>ECO-01</t>
        </is>
      </c>
      <c r="H172" s="17" t="inlineStr">
        <is>
          <t>DOC-C07-003</t>
        </is>
      </c>
      <c r="I172" s="18" t="inlineStr">
        <is>
          <t>DOC-C04-002 (CI verde, 398 testes), DOC-C07-009 (22 decisoes, invariantes epistemicos), DOC-C07-003 (11 linhas GP com compensacao sistemica e decisao de produto).</t>
        </is>
      </c>
      <c r="J172" s="17" t="inlineStr">
        <is>
          <t>strong</t>
        </is>
      </c>
      <c r="K172" s="17" t="inlineStr">
        <is>
          <t>0.8</t>
        </is>
      </c>
      <c r="L172" s="17" t="inlineStr">
        <is>
          <t>inference</t>
        </is>
      </c>
    </row>
    <row r="173">
      <c r="A173" s="17" t="inlineStr">
        <is>
          <t>EV-d70e1bd11c</t>
        </is>
      </c>
      <c r="B173" s="17" t="inlineStr">
        <is>
          <t>strategic_analysis</t>
        </is>
      </c>
      <c r="C173" s="17" t="inlineStr">
        <is>
          <t>r1</t>
        </is>
      </c>
      <c r="D173" s="18" t="inlineStr">
        <is>
          <t>A capacidade de vencer no servico e limitada por capacidade humana, nao por demanda ou diferenciacao.</t>
        </is>
      </c>
      <c r="E173" s="17" t="inlineStr">
        <is>
          <t>SA-10B</t>
        </is>
      </c>
      <c r="F173" s="17" t="inlineStr">
        <is>
          <t>ability_to_win</t>
        </is>
      </c>
      <c r="G173" s="17" t="inlineStr">
        <is>
          <t>ECO-07</t>
        </is>
      </c>
      <c r="H173" s="17" t="inlineStr">
        <is>
          <t>DOC-C05-001</t>
        </is>
      </c>
      <c r="I173" s="18" t="inlineStr">
        <is>
          <t>Um cliente por semana (DOC-C05-001), tres familias de servico ainda nao especificadas (DOC-C09-006) e nenhuma padronizacao de entrega documentada.</t>
        </is>
      </c>
      <c r="J173" s="17" t="inlineStr">
        <is>
          <t>moderate</t>
        </is>
      </c>
      <c r="K173" s="17" t="inlineStr">
        <is>
          <t>0.75</t>
        </is>
      </c>
      <c r="L173" s="17" t="inlineStr">
        <is>
          <t>inference</t>
        </is>
      </c>
    </row>
    <row r="174">
      <c r="A174" s="17" t="inlineStr">
        <is>
          <t>EV-cb8ef196c8</t>
        </is>
      </c>
      <c r="B174" s="17" t="inlineStr">
        <is>
          <t>strategic_analysis</t>
        </is>
      </c>
      <c r="C174" s="17" t="inlineStr">
        <is>
          <t>r1</t>
        </is>
      </c>
      <c r="D174" s="18" t="inlineStr">
        <is>
          <t>A capacidade de vencer no servico e limitada por capacidade humana, nao por demanda ou diferenciacao.</t>
        </is>
      </c>
      <c r="E174" s="17" t="inlineStr">
        <is>
          <t>SA-10B</t>
        </is>
      </c>
      <c r="F174" s="17" t="inlineStr">
        <is>
          <t>ability_to_win</t>
        </is>
      </c>
      <c r="G174" s="17" t="inlineStr">
        <is>
          <t>ECO-07</t>
        </is>
      </c>
      <c r="H174" s="17" t="inlineStr">
        <is>
          <t>DOC-C09-006</t>
        </is>
      </c>
      <c r="I174" s="18" t="inlineStr">
        <is>
          <t>Um cliente por semana (DOC-C05-001), tres familias de servico ainda nao especificadas (DOC-C09-006) e nenhuma padronizacao de entrega documentada.</t>
        </is>
      </c>
      <c r="J174" s="17" t="inlineStr">
        <is>
          <t>moderate</t>
        </is>
      </c>
      <c r="K174" s="17" t="inlineStr">
        <is>
          <t>0.75</t>
        </is>
      </c>
      <c r="L174" s="17" t="inlineStr">
        <is>
          <t>inference</t>
        </is>
      </c>
    </row>
    <row r="175">
      <c r="A175" s="17" t="inlineStr">
        <is>
          <t>EV-14ec04afe1</t>
        </is>
      </c>
      <c r="B175" s="17" t="inlineStr">
        <is>
          <t>strategic_analysis</t>
        </is>
      </c>
      <c r="C175" s="17" t="inlineStr">
        <is>
          <t>r1</t>
        </is>
      </c>
      <c r="D175" s="18" t="inlineStr">
        <is>
          <t>A capacidade de vencer no editorial depende de um ativo que ainda nao existe: o site publicado.</t>
        </is>
      </c>
      <c r="E175" s="17" t="inlineStr">
        <is>
          <t>SA-10B</t>
        </is>
      </c>
      <c r="F175" s="17" t="inlineStr">
        <is>
          <t>ability_to_win</t>
        </is>
      </c>
      <c r="G175" s="17" t="inlineStr">
        <is>
          <t>ECO-02</t>
        </is>
      </c>
      <c r="H175" s="17" t="inlineStr">
        <is>
          <t>DOC-C02-039</t>
        </is>
      </c>
      <c r="I175" s="18" t="inlineStr">
        <is>
          <t>DOC-C02-039 registra status 'fundacao editorial definida; validacao e publicacao pendentes' e AGORA = 'Confirmar dominio e reservar @riscocognitivo'; DOC-C02-043 lista 11 proximos passos comecando por dominio e repositorio.</t>
        </is>
      </c>
      <c r="J175" s="17" t="inlineStr">
        <is>
          <t>strong</t>
        </is>
      </c>
      <c r="K175" s="17" t="inlineStr">
        <is>
          <t>0.9</t>
        </is>
      </c>
      <c r="L175" s="17" t="inlineStr">
        <is>
          <t>fact</t>
        </is>
      </c>
    </row>
    <row r="176">
      <c r="A176" s="17" t="inlineStr">
        <is>
          <t>EV-2f8b652981</t>
        </is>
      </c>
      <c r="B176" s="17" t="inlineStr">
        <is>
          <t>strategic_analysis</t>
        </is>
      </c>
      <c r="C176" s="17" t="inlineStr">
        <is>
          <t>r1</t>
        </is>
      </c>
      <c r="D176" s="18" t="inlineStr">
        <is>
          <t>A capacidade de vencer no editorial depende de um ativo que ainda nao existe: o site publicado.</t>
        </is>
      </c>
      <c r="E176" s="17" t="inlineStr">
        <is>
          <t>SA-10B</t>
        </is>
      </c>
      <c r="F176" s="17" t="inlineStr">
        <is>
          <t>ability_to_win</t>
        </is>
      </c>
      <c r="G176" s="17" t="inlineStr">
        <is>
          <t>ECO-02</t>
        </is>
      </c>
      <c r="H176" s="17" t="inlineStr">
        <is>
          <t>DOC-C02-043</t>
        </is>
      </c>
      <c r="I176" s="18" t="inlineStr">
        <is>
          <t>DOC-C02-039 registra status 'fundacao editorial definida; validacao e publicacao pendentes' e AGORA = 'Confirmar dominio e reservar @riscocognitivo'; DOC-C02-043 lista 11 proximos passos comecando por dominio e repositorio.</t>
        </is>
      </c>
      <c r="J176" s="17" t="inlineStr">
        <is>
          <t>strong</t>
        </is>
      </c>
      <c r="K176" s="17" t="inlineStr">
        <is>
          <t>0.9</t>
        </is>
      </c>
      <c r="L176" s="17" t="inlineStr">
        <is>
          <t>fact</t>
        </is>
      </c>
    </row>
    <row r="177">
      <c r="A177" s="17" t="inlineStr">
        <is>
          <t>EV-fef42c5f96</t>
        </is>
      </c>
      <c r="B177" s="17" t="inlineStr">
        <is>
          <t>strategic_analysis</t>
        </is>
      </c>
      <c r="C177" s="17" t="inlineStr">
        <is>
          <t>r1</t>
        </is>
      </c>
      <c r="D177" s="18" t="inlineStr">
        <is>
          <t>A escolha declarada e ocupar um territorio editorial proprio, e nao a categoria blog de TDAH.</t>
        </is>
      </c>
      <c r="E177" s="17" t="inlineStr">
        <is>
          <t>SA-11A</t>
        </is>
      </c>
      <c r="F177" s="17" t="inlineStr">
        <is>
          <t>where_to_play</t>
        </is>
      </c>
      <c r="G177" s="17" t="inlineStr">
        <is>
          <t>ECO-02</t>
        </is>
      </c>
      <c r="H177" s="17" t="inlineStr">
        <is>
          <t>DOC-C02-043</t>
        </is>
      </c>
      <c r="I177" s="18" t="inlineStr">
        <is>
          <t>DOC-C02-043: 'Risco Cognitivo deixa de ser apenas um blog sobre TDAH e passa a ser um territorio editorial sobre funcoes executivas, neurodivergencia, trabalho, projetos, risco e execucao'; DOC-C01-005 reforca 'TDAH pode ser seu primeiro laboratorio'.</t>
        </is>
      </c>
      <c r="J177" s="17" t="inlineStr">
        <is>
          <t>strong</t>
        </is>
      </c>
      <c r="K177" s="17" t="inlineStr">
        <is>
          <t>0.9</t>
        </is>
      </c>
      <c r="L177" s="17" t="inlineStr">
        <is>
          <t>fact</t>
        </is>
      </c>
    </row>
    <row r="178">
      <c r="A178" s="17" t="inlineStr">
        <is>
          <t>EV-227def7ce5</t>
        </is>
      </c>
      <c r="B178" s="17" t="inlineStr">
        <is>
          <t>strategic_analysis</t>
        </is>
      </c>
      <c r="C178" s="17" t="inlineStr">
        <is>
          <t>r1</t>
        </is>
      </c>
      <c r="D178" s="18" t="inlineStr">
        <is>
          <t>A escolha declarada e ocupar um territorio editorial proprio, e nao a categoria blog de TDAH.</t>
        </is>
      </c>
      <c r="E178" s="17" t="inlineStr">
        <is>
          <t>SA-11A</t>
        </is>
      </c>
      <c r="F178" s="17" t="inlineStr">
        <is>
          <t>where_to_play</t>
        </is>
      </c>
      <c r="G178" s="17" t="inlineStr">
        <is>
          <t>ECO-02</t>
        </is>
      </c>
      <c r="H178" s="17" t="inlineStr">
        <is>
          <t>DOC-C01-005</t>
        </is>
      </c>
      <c r="I178" s="18" t="inlineStr">
        <is>
          <t>DOC-C02-043: 'Risco Cognitivo deixa de ser apenas um blog sobre TDAH e passa a ser um territorio editorial sobre funcoes executivas, neurodivergencia, trabalho, projetos, risco e execucao'; DOC-C01-005 reforca 'TDAH pode ser seu primeiro laboratorio'.</t>
        </is>
      </c>
      <c r="J178" s="17" t="inlineStr">
        <is>
          <t>strong</t>
        </is>
      </c>
      <c r="K178" s="17" t="inlineStr">
        <is>
          <t>0.9</t>
        </is>
      </c>
      <c r="L178" s="17" t="inlineStr">
        <is>
          <t>fact</t>
        </is>
      </c>
    </row>
    <row r="179">
      <c r="A179" s="17" t="inlineStr">
        <is>
          <t>EV-98c1a61ace</t>
        </is>
      </c>
      <c r="B179" s="17" t="inlineStr">
        <is>
          <t>strategic_analysis</t>
        </is>
      </c>
      <c r="C179" s="17" t="inlineStr">
        <is>
          <t>r1</t>
        </is>
      </c>
      <c r="D179" s="18" t="inlineStr">
        <is>
          <t>Ha duas arquiteturas editoriais concorrentes no acervo, com categorias diferentes.</t>
        </is>
      </c>
      <c r="E179" s="17" t="inlineStr">
        <is>
          <t>SA-11A</t>
        </is>
      </c>
      <c r="F179" s="17" t="inlineStr">
        <is>
          <t>where_to_play_conflict</t>
        </is>
      </c>
      <c r="G179" s="17" t="inlineStr">
        <is>
          <t>ECO-02</t>
        </is>
      </c>
      <c r="H179" s="17" t="inlineStr">
        <is>
          <t>DOC-C02-043</t>
        </is>
      </c>
      <c r="I179" s="18" t="inlineStr">
        <is>
          <t>Versao A (DOC-C02-043/DOC-C01-005): territorio 'Risco Cognitivo', mais amplo que TDAH. Versao B (DOC-C10-003): 'Arquitetura editorial unica - Categoria: TDAH adulto aplicado ao trabalho, a gestao e a execucao', com tres pilares e 4E.</t>
        </is>
      </c>
      <c r="J179" s="17" t="inlineStr">
        <is>
          <t>strong</t>
        </is>
      </c>
      <c r="K179" s="17" t="inlineStr">
        <is>
          <t>0.85</t>
        </is>
      </c>
      <c r="L179" s="17" t="inlineStr">
        <is>
          <t>conflict</t>
        </is>
      </c>
    </row>
    <row r="180">
      <c r="A180" s="17" t="inlineStr">
        <is>
          <t>EV-5878d10342</t>
        </is>
      </c>
      <c r="B180" s="17" t="inlineStr">
        <is>
          <t>strategic_analysis</t>
        </is>
      </c>
      <c r="C180" s="17" t="inlineStr">
        <is>
          <t>r1</t>
        </is>
      </c>
      <c r="D180" s="18" t="inlineStr">
        <is>
          <t>Ha duas arquiteturas editoriais concorrentes no acervo, com categorias diferentes.</t>
        </is>
      </c>
      <c r="E180" s="17" t="inlineStr">
        <is>
          <t>SA-11A</t>
        </is>
      </c>
      <c r="F180" s="17" t="inlineStr">
        <is>
          <t>where_to_play_conflict</t>
        </is>
      </c>
      <c r="G180" s="17" t="inlineStr">
        <is>
          <t>ECO-02</t>
        </is>
      </c>
      <c r="H180" s="17" t="inlineStr">
        <is>
          <t>DOC-C01-005</t>
        </is>
      </c>
      <c r="I180" s="18" t="inlineStr">
        <is>
          <t>Versao A (DOC-C02-043/DOC-C01-005): territorio 'Risco Cognitivo', mais amplo que TDAH. Versao B (DOC-C10-003): 'Arquitetura editorial unica - Categoria: TDAH adulto aplicado ao trabalho, a gestao e a execucao', com tres pilares e 4E.</t>
        </is>
      </c>
      <c r="J180" s="17" t="inlineStr">
        <is>
          <t>strong</t>
        </is>
      </c>
      <c r="K180" s="17" t="inlineStr">
        <is>
          <t>0.85</t>
        </is>
      </c>
      <c r="L180" s="17" t="inlineStr">
        <is>
          <t>conflict</t>
        </is>
      </c>
    </row>
    <row r="181">
      <c r="A181" s="17" t="inlineStr">
        <is>
          <t>EV-1b1bf631f2</t>
        </is>
      </c>
      <c r="B181" s="17" t="inlineStr">
        <is>
          <t>strategic_analysis</t>
        </is>
      </c>
      <c r="C181" s="17" t="inlineStr">
        <is>
          <t>r1</t>
        </is>
      </c>
      <c r="D181" s="18" t="inlineStr">
        <is>
          <t>Ha duas arquiteturas editoriais concorrentes no acervo, com categorias diferentes.</t>
        </is>
      </c>
      <c r="E181" s="17" t="inlineStr">
        <is>
          <t>SA-11A</t>
        </is>
      </c>
      <c r="F181" s="17" t="inlineStr">
        <is>
          <t>where_to_play_conflict</t>
        </is>
      </c>
      <c r="G181" s="17" t="inlineStr">
        <is>
          <t>ECO-02</t>
        </is>
      </c>
      <c r="H181" s="17" t="inlineStr">
        <is>
          <t>DOC-C10-003</t>
        </is>
      </c>
      <c r="I181" s="18" t="inlineStr">
        <is>
          <t>Versao A (DOC-C02-043/DOC-C01-005): territorio 'Risco Cognitivo', mais amplo que TDAH. Versao B (DOC-C10-003): 'Arquitetura editorial unica - Categoria: TDAH adulto aplicado ao trabalho, a gestao e a execucao', com tres pilares e 4E.</t>
        </is>
      </c>
      <c r="J181" s="17" t="inlineStr">
        <is>
          <t>strong</t>
        </is>
      </c>
      <c r="K181" s="17" t="inlineStr">
        <is>
          <t>0.85</t>
        </is>
      </c>
      <c r="L181" s="17" t="inlineStr">
        <is>
          <t>conflict</t>
        </is>
      </c>
    </row>
    <row r="182">
      <c r="A182" s="17" t="inlineStr">
        <is>
          <t>EV-d0fa7a0807</t>
        </is>
      </c>
      <c r="B182" s="17" t="inlineStr">
        <is>
          <t>strategic_analysis</t>
        </is>
      </c>
      <c r="C182" s="17" t="inlineStr">
        <is>
          <t>r1</t>
        </is>
      </c>
      <c r="D182" s="18" t="inlineStr">
        <is>
          <t>Ha duas arquiteturas editoriais concorrentes no acervo, com categorias diferentes.</t>
        </is>
      </c>
      <c r="E182" s="17" t="inlineStr">
        <is>
          <t>SA-11A</t>
        </is>
      </c>
      <c r="F182" s="17" t="inlineStr">
        <is>
          <t>where_to_play_conflict</t>
        </is>
      </c>
      <c r="G182" s="17" t="inlineStr">
        <is>
          <t>ECO-02</t>
        </is>
      </c>
      <c r="H182" s="17" t="inlineStr">
        <is>
          <t>DOC-C05-001</t>
        </is>
      </c>
      <c r="I182" s="18" t="inlineStr">
        <is>
          <t>Versao A (DOC-C02-043/DOC-C01-005): territorio 'Risco Cognitivo', mais amplo que TDAH. Versao B (DOC-C10-003): 'Arquitetura editorial unica - Categoria: TDAH adulto aplicado ao trabalho, a gestao e a execucao', com tres pilares e 4E.</t>
        </is>
      </c>
      <c r="J182" s="17" t="inlineStr">
        <is>
          <t>strong</t>
        </is>
      </c>
      <c r="K182" s="17" t="inlineStr">
        <is>
          <t>0.85</t>
        </is>
      </c>
      <c r="L182" s="17" t="inlineStr">
        <is>
          <t>conflict</t>
        </is>
      </c>
    </row>
    <row r="183">
      <c r="A183" s="17" t="inlineStr">
        <is>
          <t>EV-4fa1cb7237</t>
        </is>
      </c>
      <c r="B183" s="17" t="inlineStr">
        <is>
          <t>strategic_analysis</t>
        </is>
      </c>
      <c r="C183" s="17" t="inlineStr">
        <is>
          <t>r1</t>
        </is>
      </c>
      <c r="D183" s="18" t="inlineStr">
        <is>
          <t>A escolha de terreno do produto e execucao multiprojeto, explicitamente fora do terreno clinico.</t>
        </is>
      </c>
      <c r="E183" s="17" t="inlineStr">
        <is>
          <t>SA-11A</t>
        </is>
      </c>
      <c r="F183" s="17" t="inlineStr">
        <is>
          <t>where_to_play</t>
        </is>
      </c>
      <c r="G183" s="17" t="inlineStr">
        <is>
          <t>ECO-01</t>
        </is>
      </c>
      <c r="H183" s="17" t="inlineStr">
        <is>
          <t>DOC-C07-009</t>
        </is>
      </c>
      <c r="I183" s="18" t="inlineStr">
        <is>
          <t>POSITION-01: 'Posicionar o EXECUTAR como sistema de execucao para rotinas multiprojeto, nao como tratamento de TDAH'; nota: 'Neurocompativel por design pode ser explorado como linguagem de design, mas nao como claim clinico'.</t>
        </is>
      </c>
      <c r="J183" s="17" t="inlineStr">
        <is>
          <t>strong</t>
        </is>
      </c>
      <c r="K183" s="17" t="inlineStr">
        <is>
          <t>0.9</t>
        </is>
      </c>
      <c r="L183" s="17" t="inlineStr">
        <is>
          <t>fact</t>
        </is>
      </c>
    </row>
    <row r="184">
      <c r="A184" s="17" t="inlineStr">
        <is>
          <t>EV-2381b25f07</t>
        </is>
      </c>
      <c r="B184" s="17" t="inlineStr">
        <is>
          <t>strategic_analysis</t>
        </is>
      </c>
      <c r="C184" s="17" t="inlineStr">
        <is>
          <t>r1</t>
        </is>
      </c>
      <c r="D184" s="18" t="inlineStr">
        <is>
          <t>O terreno do framework e a integracao especifica, nao o termo generico.</t>
        </is>
      </c>
      <c r="E184" s="17" t="inlineStr">
        <is>
          <t>SA-11A</t>
        </is>
      </c>
      <c r="F184" s="17" t="inlineStr">
        <is>
          <t>where_to_play</t>
        </is>
      </c>
      <c r="G184" s="17" t="inlineStr">
        <is>
          <t>ECO-03</t>
        </is>
      </c>
      <c r="H184" s="17" t="inlineStr">
        <is>
          <t>DOC-C02-016</t>
        </is>
      </c>
      <c r="I184" s="18" t="inlineStr">
        <is>
          <t>RC-030: 'Nao reivindicar criacao do termo - a contribuicao defensavel e a sintese/aplicacao especifica'; DOC-C02-016 (GUARDRAIL): 'a contribuicao defensavel e a integracao especifica com funcoes executivas, neurodivergencia e execucao de projetos'.</t>
        </is>
      </c>
      <c r="J184" s="17" t="inlineStr">
        <is>
          <t>strong</t>
        </is>
      </c>
      <c r="K184" s="17" t="inlineStr">
        <is>
          <t>0.9</t>
        </is>
      </c>
      <c r="L184" s="17" t="inlineStr">
        <is>
          <t>fact</t>
        </is>
      </c>
    </row>
    <row r="185">
      <c r="A185" s="17" t="inlineStr">
        <is>
          <t>EV-d2059102c2</t>
        </is>
      </c>
      <c r="B185" s="17" t="inlineStr">
        <is>
          <t>strategic_analysis</t>
        </is>
      </c>
      <c r="C185" s="17" t="inlineStr">
        <is>
          <t>r1</t>
        </is>
      </c>
      <c r="D185" s="18" t="inlineStr">
        <is>
          <t>O terreno do framework e a integracao especifica, nao o termo generico.</t>
        </is>
      </c>
      <c r="E185" s="17" t="inlineStr">
        <is>
          <t>SA-11A</t>
        </is>
      </c>
      <c r="F185" s="17" t="inlineStr">
        <is>
          <t>where_to_play</t>
        </is>
      </c>
      <c r="G185" s="17" t="inlineStr">
        <is>
          <t>ECO-03</t>
        </is>
      </c>
      <c r="H185" s="17" t="inlineStr">
        <is>
          <t>DOC-C02-042</t>
        </is>
      </c>
      <c r="I185" s="18" t="inlineStr">
        <is>
          <t>RC-030: 'Nao reivindicar criacao do termo - a contribuicao defensavel e a sintese/aplicacao especifica'; DOC-C02-016 (GUARDRAIL): 'a contribuicao defensavel e a integracao especifica com funcoes executivas, neurodivergencia e execucao de projetos'.</t>
        </is>
      </c>
      <c r="J185" s="17" t="inlineStr">
        <is>
          <t>strong</t>
        </is>
      </c>
      <c r="K185" s="17" t="inlineStr">
        <is>
          <t>0.9</t>
        </is>
      </c>
      <c r="L185" s="17" t="inlineStr">
        <is>
          <t>fact</t>
        </is>
      </c>
    </row>
    <row r="186">
      <c r="A186" s="17" t="inlineStr">
        <is>
          <t>EV-97325e52ae</t>
        </is>
      </c>
      <c r="B186" s="17" t="inlineStr">
        <is>
          <t>strategic_analysis</t>
        </is>
      </c>
      <c r="C186" s="17" t="inlineStr">
        <is>
          <t>r1</t>
        </is>
      </c>
      <c r="D186" s="18" t="inlineStr">
        <is>
          <t>O terreno do framework e a integracao especifica, nao o termo generico.</t>
        </is>
      </c>
      <c r="E186" s="17" t="inlineStr">
        <is>
          <t>SA-11A</t>
        </is>
      </c>
      <c r="F186" s="17" t="inlineStr">
        <is>
          <t>where_to_play</t>
        </is>
      </c>
      <c r="G186" s="17" t="inlineStr">
        <is>
          <t>ECO-03</t>
        </is>
      </c>
      <c r="H186" s="17" t="inlineStr">
        <is>
          <t>DOC-C02-030</t>
        </is>
      </c>
      <c r="I186" s="18" t="inlineStr">
        <is>
          <t>RC-030: 'Nao reivindicar criacao do termo - a contribuicao defensavel e a sintese/aplicacao especifica'; DOC-C02-016 (GUARDRAIL): 'a contribuicao defensavel e a integracao especifica com funcoes executivas, neurodivergencia e execucao de projetos'.</t>
        </is>
      </c>
      <c r="J186" s="17" t="inlineStr">
        <is>
          <t>strong</t>
        </is>
      </c>
      <c r="K186" s="17" t="inlineStr">
        <is>
          <t>0.9</t>
        </is>
      </c>
      <c r="L186" s="17" t="inlineStr">
        <is>
          <t>fact</t>
        </is>
      </c>
    </row>
    <row r="187">
      <c r="A187" s="17" t="inlineStr">
        <is>
          <t>EV-8ab799a010</t>
        </is>
      </c>
      <c r="B187" s="17" t="inlineStr">
        <is>
          <t>strategic_analysis</t>
        </is>
      </c>
      <c r="C187" s="17" t="inlineStr">
        <is>
          <t>r1</t>
        </is>
      </c>
      <c r="D187" s="18" t="inlineStr">
        <is>
          <t>O terreno do servico e desenvolvimento de solucoes neuroadaptadas demonstradas por casos proprios.</t>
        </is>
      </c>
      <c r="E187" s="17" t="inlineStr">
        <is>
          <t>SA-11A</t>
        </is>
      </c>
      <c r="F187" s="17" t="inlineStr">
        <is>
          <t>where_to_play</t>
        </is>
      </c>
      <c r="G187" s="17" t="inlineStr">
        <is>
          <t>ECO-07</t>
        </is>
      </c>
      <c r="H187" s="17" t="inlineStr">
        <is>
          <t>DOC-C05-001</t>
        </is>
      </c>
      <c r="I187" s="18" t="inlineStr">
        <is>
          <t>DOC-C05-001: 'Desenvolvimento de solucoes neuroadaptadas: automacoes, workflows, apps, rotinas, MCPs e agentes, sempre demonstrados por casos proprios como o Executar'.</t>
        </is>
      </c>
      <c r="J187" s="17" t="inlineStr">
        <is>
          <t>strong</t>
        </is>
      </c>
      <c r="K187" s="17" t="inlineStr">
        <is>
          <t>0.85</t>
        </is>
      </c>
      <c r="L187" s="17" t="inlineStr">
        <is>
          <t>fact</t>
        </is>
      </c>
    </row>
    <row r="188">
      <c r="A188" s="17" t="inlineStr">
        <is>
          <t>EV-bf679e82c3</t>
        </is>
      </c>
      <c r="B188" s="17" t="inlineStr">
        <is>
          <t>strategic_analysis</t>
        </is>
      </c>
      <c r="C188" s="17" t="inlineStr">
        <is>
          <t>r1</t>
        </is>
      </c>
      <c r="D188" s="18" t="inlineStr">
        <is>
          <t>O terreno do servico e desenvolvimento de solucoes neuroadaptadas demonstradas por casos proprios.</t>
        </is>
      </c>
      <c r="E188" s="17" t="inlineStr">
        <is>
          <t>SA-11A</t>
        </is>
      </c>
      <c r="F188" s="17" t="inlineStr">
        <is>
          <t>where_to_play</t>
        </is>
      </c>
      <c r="G188" s="17" t="inlineStr">
        <is>
          <t>ECO-07</t>
        </is>
      </c>
      <c r="H188" s="17" t="inlineStr">
        <is>
          <t>DOC-C09-006</t>
        </is>
      </c>
      <c r="I188" s="18" t="inlineStr">
        <is>
          <t>DOC-C05-001: 'Desenvolvimento de solucoes neuroadaptadas: automacoes, workflows, apps, rotinas, MCPs e agentes, sempre demonstrados por casos proprios como o Executar'.</t>
        </is>
      </c>
      <c r="J188" s="17" t="inlineStr">
        <is>
          <t>strong</t>
        </is>
      </c>
      <c r="K188" s="17" t="inlineStr">
        <is>
          <t>0.85</t>
        </is>
      </c>
      <c r="L188" s="17" t="inlineStr">
        <is>
          <t>fact</t>
        </is>
      </c>
    </row>
    <row r="189">
      <c r="A189" s="17" t="inlineStr">
        <is>
          <t>EV-748741d195</t>
        </is>
      </c>
      <c r="B189" s="17" t="inlineStr">
        <is>
          <t>strategic_analysis</t>
        </is>
      </c>
      <c r="C189" s="17" t="inlineStr">
        <is>
          <t>r1</t>
        </is>
      </c>
      <c r="D189" s="18" t="inlineStr">
        <is>
          <t>A logica de vitoria editorial e sequencial: instalar a categoria antes de apresentar o produto.</t>
        </is>
      </c>
      <c r="E189" s="17" t="inlineStr">
        <is>
          <t>SA-11B</t>
        </is>
      </c>
      <c r="F189" s="17" t="inlineStr">
        <is>
          <t>how_to_win</t>
        </is>
      </c>
      <c r="G189" s="17" t="inlineStr">
        <is>
          <t>ECO-02</t>
        </is>
      </c>
      <c r="H189" s="17" t="inlineStr">
        <is>
          <t>DOC-C02-042</t>
        </is>
      </c>
      <c r="I189" s="18" t="inlineStr">
        <is>
          <t>DOC-C02-042: 'construir primeiro a categoria intelectual Risco Cognitivo, depois validar o framework e somente entao apresentar o EXECUTAR como implementacao'; DOC-C02-043: 'O artigo nao termina vendendo EXECUTAR'.</t>
        </is>
      </c>
      <c r="J189" s="17" t="inlineStr">
        <is>
          <t>strong</t>
        </is>
      </c>
      <c r="K189" s="17" t="inlineStr">
        <is>
          <t>0.9</t>
        </is>
      </c>
      <c r="L189" s="17" t="inlineStr">
        <is>
          <t>fact</t>
        </is>
      </c>
    </row>
    <row r="190">
      <c r="A190" s="17" t="inlineStr">
        <is>
          <t>EV-15e9b8731f</t>
        </is>
      </c>
      <c r="B190" s="17" t="inlineStr">
        <is>
          <t>strategic_analysis</t>
        </is>
      </c>
      <c r="C190" s="17" t="inlineStr">
        <is>
          <t>r1</t>
        </is>
      </c>
      <c r="D190" s="18" t="inlineStr">
        <is>
          <t>A logica de vitoria editorial e sequencial: instalar a categoria antes de apresentar o produto.</t>
        </is>
      </c>
      <c r="E190" s="17" t="inlineStr">
        <is>
          <t>SA-11B</t>
        </is>
      </c>
      <c r="F190" s="17" t="inlineStr">
        <is>
          <t>how_to_win</t>
        </is>
      </c>
      <c r="G190" s="17" t="inlineStr">
        <is>
          <t>ECO-02</t>
        </is>
      </c>
      <c r="H190" s="17" t="inlineStr">
        <is>
          <t>DOC-C02-043</t>
        </is>
      </c>
      <c r="I190" s="18" t="inlineStr">
        <is>
          <t>DOC-C02-042: 'construir primeiro a categoria intelectual Risco Cognitivo, depois validar o framework e somente entao apresentar o EXECUTAR como implementacao'; DOC-C02-043: 'O artigo nao termina vendendo EXECUTAR'.</t>
        </is>
      </c>
      <c r="J190" s="17" t="inlineStr">
        <is>
          <t>strong</t>
        </is>
      </c>
      <c r="K190" s="17" t="inlineStr">
        <is>
          <t>0.9</t>
        </is>
      </c>
      <c r="L190" s="17" t="inlineStr">
        <is>
          <t>fact</t>
        </is>
      </c>
    </row>
    <row r="191">
      <c r="A191" s="17" t="inlineStr">
        <is>
          <t>EV-9fff03638b</t>
        </is>
      </c>
      <c r="B191" s="17" t="inlineStr">
        <is>
          <t>strategic_analysis</t>
        </is>
      </c>
      <c r="C191" s="17" t="inlineStr">
        <is>
          <t>r1</t>
        </is>
      </c>
      <c r="D191" s="18" t="inlineStr">
        <is>
          <t>A logica de vitoria editorial e sequencial: instalar a categoria antes de apresentar o produto.</t>
        </is>
      </c>
      <c r="E191" s="17" t="inlineStr">
        <is>
          <t>SA-11B</t>
        </is>
      </c>
      <c r="F191" s="17" t="inlineStr">
        <is>
          <t>how_to_win</t>
        </is>
      </c>
      <c r="G191" s="17" t="inlineStr">
        <is>
          <t>ECO-02</t>
        </is>
      </c>
      <c r="H191" s="17" t="inlineStr">
        <is>
          <t>DOC-C02-014</t>
        </is>
      </c>
      <c r="I191" s="18" t="inlineStr">
        <is>
          <t>DOC-C02-042: 'construir primeiro a categoria intelectual Risco Cognitivo, depois validar o framework e somente entao apresentar o EXECUTAR como implementacao'; DOC-C02-043: 'O artigo nao termina vendendo EXECUTAR'.</t>
        </is>
      </c>
      <c r="J191" s="17" t="inlineStr">
        <is>
          <t>strong</t>
        </is>
      </c>
      <c r="K191" s="17" t="inlineStr">
        <is>
          <t>0.9</t>
        </is>
      </c>
      <c r="L191" s="17" t="inlineStr">
        <is>
          <t>fact</t>
        </is>
      </c>
    </row>
    <row r="192">
      <c r="A192" s="17" t="inlineStr">
        <is>
          <t>EV-2bbc86af26</t>
        </is>
      </c>
      <c r="B192" s="17" t="inlineStr">
        <is>
          <t>strategic_analysis</t>
        </is>
      </c>
      <c r="C192" s="17" t="inlineStr">
        <is>
          <t>r1</t>
        </is>
      </c>
      <c r="D192" s="18" t="inlineStr">
        <is>
          <t>Ha conflito direto entre a sequencia editorial (produto por ultimo) e o GTM de 07/09 (produto e ofertas no dia um).</t>
        </is>
      </c>
      <c r="E192" s="17" t="inlineStr">
        <is>
          <t>SA-11B</t>
        </is>
      </c>
      <c r="F192" s="17" t="inlineStr">
        <is>
          <t>how_to_win_conflict</t>
        </is>
      </c>
      <c r="G192" s="17" t="inlineStr">
        <is>
          <t>ECO-01</t>
        </is>
      </c>
      <c r="H192" s="17" t="inlineStr">
        <is>
          <t>DOC-C02-042</t>
        </is>
      </c>
      <c r="I192" s="18" t="inlineStr">
        <is>
          <t>DOC-C02-042/043: 'CTA inicial: ler, explorar, assinar e baixar... o EXECUTAR fica para uma campanha posterior'. DOC-C06-001/DOC-C08-011: lancamento em 07/09 com CTA-001 App, CTA-004 E-book, CTA-005 Curso, CTA-006 Studio, CTA-009 Office Kit e commerce em Hotmart configurado em D3.</t>
        </is>
      </c>
      <c r="J192" s="17" t="inlineStr">
        <is>
          <t>strong</t>
        </is>
      </c>
      <c r="K192" s="17" t="inlineStr">
        <is>
          <t>0.9</t>
        </is>
      </c>
      <c r="L192" s="17" t="inlineStr">
        <is>
          <t>conflict</t>
        </is>
      </c>
    </row>
    <row r="193">
      <c r="A193" s="17" t="inlineStr">
        <is>
          <t>EV-2572957474</t>
        </is>
      </c>
      <c r="B193" s="17" t="inlineStr">
        <is>
          <t>strategic_analysis</t>
        </is>
      </c>
      <c r="C193" s="17" t="inlineStr">
        <is>
          <t>r1</t>
        </is>
      </c>
      <c r="D193" s="18" t="inlineStr">
        <is>
          <t>Ha conflito direto entre a sequencia editorial (produto por ultimo) e o GTM de 07/09 (produto e ofertas no dia um).</t>
        </is>
      </c>
      <c r="E193" s="17" t="inlineStr">
        <is>
          <t>SA-11B</t>
        </is>
      </c>
      <c r="F193" s="17" t="inlineStr">
        <is>
          <t>how_to_win_conflict</t>
        </is>
      </c>
      <c r="G193" s="17" t="inlineStr">
        <is>
          <t>ECO-01</t>
        </is>
      </c>
      <c r="H193" s="17" t="inlineStr">
        <is>
          <t>DOC-C02-043</t>
        </is>
      </c>
      <c r="I193" s="18" t="inlineStr">
        <is>
          <t>DOC-C02-042/043: 'CTA inicial: ler, explorar, assinar e baixar... o EXECUTAR fica para uma campanha posterior'. DOC-C06-001/DOC-C08-011: lancamento em 07/09 com CTA-001 App, CTA-004 E-book, CTA-005 Curso, CTA-006 Studio, CTA-009 Office Kit e commerce em Hotmart configurado em D3.</t>
        </is>
      </c>
      <c r="J193" s="17" t="inlineStr">
        <is>
          <t>strong</t>
        </is>
      </c>
      <c r="K193" s="17" t="inlineStr">
        <is>
          <t>0.9</t>
        </is>
      </c>
      <c r="L193" s="17" t="inlineStr">
        <is>
          <t>conflict</t>
        </is>
      </c>
    </row>
    <row r="194">
      <c r="A194" s="17" t="inlineStr">
        <is>
          <t>EV-2073856973</t>
        </is>
      </c>
      <c r="B194" s="17" t="inlineStr">
        <is>
          <t>strategic_analysis</t>
        </is>
      </c>
      <c r="C194" s="17" t="inlineStr">
        <is>
          <t>r1</t>
        </is>
      </c>
      <c r="D194" s="18" t="inlineStr">
        <is>
          <t>Ha conflito direto entre a sequencia editorial (produto por ultimo) e o GTM de 07/09 (produto e ofertas no dia um).</t>
        </is>
      </c>
      <c r="E194" s="17" t="inlineStr">
        <is>
          <t>SA-11B</t>
        </is>
      </c>
      <c r="F194" s="17" t="inlineStr">
        <is>
          <t>how_to_win_conflict</t>
        </is>
      </c>
      <c r="G194" s="17" t="inlineStr">
        <is>
          <t>ECO-01</t>
        </is>
      </c>
      <c r="H194" s="17" t="inlineStr">
        <is>
          <t>DOC-C06-001</t>
        </is>
      </c>
      <c r="I194" s="18" t="inlineStr">
        <is>
          <t>DOC-C02-042/043: 'CTA inicial: ler, explorar, assinar e baixar... o EXECUTAR fica para uma campanha posterior'. DOC-C06-001/DOC-C08-011: lancamento em 07/09 com CTA-001 App, CTA-004 E-book, CTA-005 Curso, CTA-006 Studio, CTA-009 Office Kit e commerce em Hotmart configurado em D3.</t>
        </is>
      </c>
      <c r="J194" s="17" t="inlineStr">
        <is>
          <t>strong</t>
        </is>
      </c>
      <c r="K194" s="17" t="inlineStr">
        <is>
          <t>0.9</t>
        </is>
      </c>
      <c r="L194" s="17" t="inlineStr">
        <is>
          <t>conflict</t>
        </is>
      </c>
    </row>
    <row r="195">
      <c r="A195" s="17" t="inlineStr">
        <is>
          <t>EV-d2c5e2cdb1</t>
        </is>
      </c>
      <c r="B195" s="17" t="inlineStr">
        <is>
          <t>strategic_analysis</t>
        </is>
      </c>
      <c r="C195" s="17" t="inlineStr">
        <is>
          <t>r1</t>
        </is>
      </c>
      <c r="D195" s="18" t="inlineStr">
        <is>
          <t>Ha conflito direto entre a sequencia editorial (produto por ultimo) e o GTM de 07/09 (produto e ofertas no dia um).</t>
        </is>
      </c>
      <c r="E195" s="17" t="inlineStr">
        <is>
          <t>SA-11B</t>
        </is>
      </c>
      <c r="F195" s="17" t="inlineStr">
        <is>
          <t>how_to_win_conflict</t>
        </is>
      </c>
      <c r="G195" s="17" t="inlineStr">
        <is>
          <t>ECO-01</t>
        </is>
      </c>
      <c r="H195" s="17" t="inlineStr">
        <is>
          <t>DOC-C08-011</t>
        </is>
      </c>
      <c r="I195" s="18" t="inlineStr">
        <is>
          <t>DOC-C02-042/043: 'CTA inicial: ler, explorar, assinar e baixar... o EXECUTAR fica para uma campanha posterior'. DOC-C06-001/DOC-C08-011: lancamento em 07/09 com CTA-001 App, CTA-004 E-book, CTA-005 Curso, CTA-006 Studio, CTA-009 Office Kit e commerce em Hotmart configurado em D3.</t>
        </is>
      </c>
      <c r="J195" s="17" t="inlineStr">
        <is>
          <t>strong</t>
        </is>
      </c>
      <c r="K195" s="17" t="inlineStr">
        <is>
          <t>0.9</t>
        </is>
      </c>
      <c r="L195" s="17" t="inlineStr">
        <is>
          <t>conflict</t>
        </is>
      </c>
    </row>
    <row r="196">
      <c r="A196" s="17" t="inlineStr">
        <is>
          <t>EV-7915b60b07</t>
        </is>
      </c>
      <c r="B196" s="17" t="inlineStr">
        <is>
          <t>strategic_analysis</t>
        </is>
      </c>
      <c r="C196" s="17" t="inlineStr">
        <is>
          <t>r1</t>
        </is>
      </c>
      <c r="D196" s="18" t="inlineStr">
        <is>
          <t>A promessa competitiva do produto e reduzir o trabalho de operar a ferramenta, nao adicionar recursos.</t>
        </is>
      </c>
      <c r="E196" s="17" t="inlineStr">
        <is>
          <t>SA-11B</t>
        </is>
      </c>
      <c r="F196" s="17" t="inlineStr">
        <is>
          <t>how_to_win</t>
        </is>
      </c>
      <c r="G196" s="17" t="inlineStr">
        <is>
          <t>ECO-01</t>
        </is>
      </c>
      <c r="H196" s="17" t="inlineStr">
        <is>
          <t>DOC-C09-004</t>
        </is>
      </c>
      <c r="I196" s="18" t="inlineStr">
        <is>
          <t>DOC-C09-004: 'O aplicativo de produtividade feito para voce usar menos. O sistema sustenta a estrutura; o usuario executa'; DOC-C05-001 item 04: 'Zero configuracao, minima personalizacao, externalizacao cognitiva e reducao do tempo gasto administrando a ferramenta'.</t>
        </is>
      </c>
      <c r="J196" s="17" t="inlineStr">
        <is>
          <t>strong</t>
        </is>
      </c>
      <c r="K196" s="17" t="inlineStr">
        <is>
          <t>0.9</t>
        </is>
      </c>
      <c r="L196" s="17" t="inlineStr">
        <is>
          <t>fact</t>
        </is>
      </c>
    </row>
    <row r="197">
      <c r="A197" s="17" t="inlineStr">
        <is>
          <t>EV-80b79b44e8</t>
        </is>
      </c>
      <c r="B197" s="17" t="inlineStr">
        <is>
          <t>strategic_analysis</t>
        </is>
      </c>
      <c r="C197" s="17" t="inlineStr">
        <is>
          <t>r1</t>
        </is>
      </c>
      <c r="D197" s="18" t="inlineStr">
        <is>
          <t>A promessa competitiva do produto e reduzir o trabalho de operar a ferramenta, nao adicionar recursos.</t>
        </is>
      </c>
      <c r="E197" s="17" t="inlineStr">
        <is>
          <t>SA-11B</t>
        </is>
      </c>
      <c r="F197" s="17" t="inlineStr">
        <is>
          <t>how_to_win</t>
        </is>
      </c>
      <c r="G197" s="17" t="inlineStr">
        <is>
          <t>ECO-01</t>
        </is>
      </c>
      <c r="H197" s="17" t="inlineStr">
        <is>
          <t>DOC-C05-001</t>
        </is>
      </c>
      <c r="I197" s="18" t="inlineStr">
        <is>
          <t>DOC-C09-004: 'O aplicativo de produtividade feito para voce usar menos. O sistema sustenta a estrutura; o usuario executa'; DOC-C05-001 item 04: 'Zero configuracao, minima personalizacao, externalizacao cognitiva e reducao do tempo gasto administrando a ferramenta'.</t>
        </is>
      </c>
      <c r="J197" s="17" t="inlineStr">
        <is>
          <t>strong</t>
        </is>
      </c>
      <c r="K197" s="17" t="inlineStr">
        <is>
          <t>0.9</t>
        </is>
      </c>
      <c r="L197" s="17" t="inlineStr">
        <is>
          <t>fact</t>
        </is>
      </c>
    </row>
    <row r="198">
      <c r="A198" s="17" t="inlineStr">
        <is>
          <t>EV-c26f6d2b2a</t>
        </is>
      </c>
      <c r="B198" s="17" t="inlineStr">
        <is>
          <t>strategic_analysis</t>
        </is>
      </c>
      <c r="C198" s="17" t="inlineStr">
        <is>
          <t>r1</t>
        </is>
      </c>
      <c r="D198" s="18" t="inlineStr">
        <is>
          <t>A logica de vitoria do framework e validacao em estagios, com cada etapa condicionada a anterior.</t>
        </is>
      </c>
      <c r="E198" s="17" t="inlineStr">
        <is>
          <t>SA-11B</t>
        </is>
      </c>
      <c r="F198" s="17" t="inlineStr">
        <is>
          <t>how_to_win</t>
        </is>
      </c>
      <c r="G198" s="17" t="inlineStr">
        <is>
          <t>ECO-03</t>
        </is>
      </c>
      <c r="H198" s="17" t="inlineStr">
        <is>
          <t>DOC-C02-042</t>
        </is>
      </c>
      <c r="I198" s="18" t="inlineStr">
        <is>
          <t>DOC-C02-042: 'Risco Cognitivo = territorio/publicacao -&gt; CERM = framework investigavel -&gt; Mapa/Register = ferramenta aplicada -&gt; EXECUTAR = implementacao -&gt; dados/casos = evidencia -&gt; white paper/livro/curso = expansao, mantendo cada estagio condicionado a validacao do anterior'.</t>
        </is>
      </c>
      <c r="J198" s="17" t="inlineStr">
        <is>
          <t>strong</t>
        </is>
      </c>
      <c r="K198" s="17" t="inlineStr">
        <is>
          <t>0.9</t>
        </is>
      </c>
      <c r="L198" s="17" t="inlineStr">
        <is>
          <t>fact</t>
        </is>
      </c>
    </row>
    <row r="199">
      <c r="A199" s="17" t="inlineStr">
        <is>
          <t>EV-f18f0eaaa0</t>
        </is>
      </c>
      <c r="B199" s="17" t="inlineStr">
        <is>
          <t>strategic_analysis</t>
        </is>
      </c>
      <c r="C199" s="17" t="inlineStr">
        <is>
          <t>r1</t>
        </is>
      </c>
      <c r="D199" s="18" t="inlineStr">
        <is>
          <t>A logica de vitoria do framework e validacao em estagios, com cada etapa condicionada a anterior.</t>
        </is>
      </c>
      <c r="E199" s="17" t="inlineStr">
        <is>
          <t>SA-11B</t>
        </is>
      </c>
      <c r="F199" s="17" t="inlineStr">
        <is>
          <t>how_to_win</t>
        </is>
      </c>
      <c r="G199" s="17" t="inlineStr">
        <is>
          <t>ECO-03</t>
        </is>
      </c>
      <c r="H199" s="17" t="inlineStr">
        <is>
          <t>DOC-C02-031</t>
        </is>
      </c>
      <c r="I199" s="18" t="inlineStr">
        <is>
          <t>DOC-C02-042: 'Risco Cognitivo = territorio/publicacao -&gt; CERM = framework investigavel -&gt; Mapa/Register = ferramenta aplicada -&gt; EXECUTAR = implementacao -&gt; dados/casos = evidencia -&gt; white paper/livro/curso = expansao, mantendo cada estagio condicionado a validacao do anterior'.</t>
        </is>
      </c>
      <c r="J199" s="17" t="inlineStr">
        <is>
          <t>strong</t>
        </is>
      </c>
      <c r="K199" s="17" t="inlineStr">
        <is>
          <t>0.9</t>
        </is>
      </c>
      <c r="L199" s="17" t="inlineStr">
        <is>
          <t>fact</t>
        </is>
      </c>
    </row>
    <row r="200">
      <c r="A200" s="17" t="inlineStr">
        <is>
          <t>EV-fe1951bcbe</t>
        </is>
      </c>
      <c r="B200" s="17" t="inlineStr">
        <is>
          <t>strategic_analysis</t>
        </is>
      </c>
      <c r="C200" s="17" t="inlineStr">
        <is>
          <t>r1</t>
        </is>
      </c>
      <c r="D200" s="18" t="inlineStr">
        <is>
          <t>A logica de vitoria do framework e validacao em estagios, com cada etapa condicionada a anterior.</t>
        </is>
      </c>
      <c r="E200" s="17" t="inlineStr">
        <is>
          <t>SA-11B</t>
        </is>
      </c>
      <c r="F200" s="17" t="inlineStr">
        <is>
          <t>how_to_win</t>
        </is>
      </c>
      <c r="G200" s="17" t="inlineStr">
        <is>
          <t>ECO-03</t>
        </is>
      </c>
      <c r="H200" s="17" t="inlineStr">
        <is>
          <t>DOC-C02-015</t>
        </is>
      </c>
      <c r="I200" s="18" t="inlineStr">
        <is>
          <t>DOC-C02-042: 'Risco Cognitivo = territorio/publicacao -&gt; CERM = framework investigavel -&gt; Mapa/Register = ferramenta aplicada -&gt; EXECUTAR = implementacao -&gt; dados/casos = evidencia -&gt; white paper/livro/curso = expansao, mantendo cada estagio condicionado a validacao do anterior'.</t>
        </is>
      </c>
      <c r="J200" s="17" t="inlineStr">
        <is>
          <t>strong</t>
        </is>
      </c>
      <c r="K200" s="17" t="inlineStr">
        <is>
          <t>0.9</t>
        </is>
      </c>
      <c r="L200" s="17" t="inlineStr">
        <is>
          <t>fact</t>
        </is>
      </c>
    </row>
    <row r="201">
      <c r="A201" s="17" t="inlineStr">
        <is>
          <t>EV-57984358a4</t>
        </is>
      </c>
      <c r="B201" s="17" t="inlineStr">
        <is>
          <t>strategic_analysis</t>
        </is>
      </c>
      <c r="C201" s="17" t="inlineStr">
        <is>
          <t>r1</t>
        </is>
      </c>
      <c r="D201" s="18" t="inlineStr">
        <is>
          <t>A logica de vitoria do servico e transformacao visivel: o cliente decide por evidencia, nao por termo tecnico.</t>
        </is>
      </c>
      <c r="E201" s="17" t="inlineStr">
        <is>
          <t>SA-11B</t>
        </is>
      </c>
      <c r="F201" s="17" t="inlineStr">
        <is>
          <t>how_to_win</t>
        </is>
      </c>
      <c r="G201" s="17" t="inlineStr">
        <is>
          <t>ECO-07</t>
        </is>
      </c>
      <c r="H201" s="17" t="inlineStr">
        <is>
          <t>DOC-C11-010</t>
        </is>
      </c>
      <c r="I201" s="18" t="inlineStr">
        <is>
          <t>DOC-C11-010: 'Cliente entra, ve o problema compreendido e testa um prototipo... escolhe: aprovar, mudar ou perguntar... O cliente acompanha a construcao pela transformacao visivel, nao por termos tecnicos'.</t>
        </is>
      </c>
      <c r="J201" s="17" t="inlineStr">
        <is>
          <t>strong</t>
        </is>
      </c>
      <c r="K201" s="17" t="inlineStr">
        <is>
          <t>0.85</t>
        </is>
      </c>
      <c r="L201" s="17" t="inlineStr">
        <is>
          <t>fact</t>
        </is>
      </c>
    </row>
    <row r="202">
      <c r="A202" s="17" t="inlineStr">
        <is>
          <t>EV-7e6de412ca</t>
        </is>
      </c>
      <c r="B202" s="17" t="inlineStr">
        <is>
          <t>strategic_analysis</t>
        </is>
      </c>
      <c r="C202" s="17" t="inlineStr">
        <is>
          <t>r1</t>
        </is>
      </c>
      <c r="D202" s="18" t="inlineStr">
        <is>
          <t>A logica de vitoria do servico e transformacao visivel: o cliente decide por evidencia, nao por termo tecnico.</t>
        </is>
      </c>
      <c r="E202" s="17" t="inlineStr">
        <is>
          <t>SA-11B</t>
        </is>
      </c>
      <c r="F202" s="17" t="inlineStr">
        <is>
          <t>how_to_win</t>
        </is>
      </c>
      <c r="G202" s="17" t="inlineStr">
        <is>
          <t>ECO-07</t>
        </is>
      </c>
      <c r="H202" s="17" t="inlineStr">
        <is>
          <t>DOC-C09-006</t>
        </is>
      </c>
      <c r="I202" s="18" t="inlineStr">
        <is>
          <t>DOC-C11-010: 'Cliente entra, ve o problema compreendido e testa um prototipo... escolhe: aprovar, mudar ou perguntar... O cliente acompanha a construcao pela transformacao visivel, nao por termos tecnicos'.</t>
        </is>
      </c>
      <c r="J202" s="17" t="inlineStr">
        <is>
          <t>strong</t>
        </is>
      </c>
      <c r="K202" s="17" t="inlineStr">
        <is>
          <t>0.85</t>
        </is>
      </c>
      <c r="L202" s="17" t="inlineStr">
        <is>
          <t>fact</t>
        </is>
      </c>
    </row>
    <row r="203">
      <c r="A203" s="17" t="inlineStr">
        <is>
          <t>EV-21481da505</t>
        </is>
      </c>
      <c r="B203" s="17" t="inlineStr">
        <is>
          <t>strategic_analysis</t>
        </is>
      </c>
      <c r="C203" s="17" t="inlineStr">
        <is>
          <t>r1</t>
        </is>
      </c>
      <c r="D203" s="18" t="inlineStr">
        <is>
          <t>Existem 15 decisoes de produto e seguranca derivadas de perguntas do framework de 694 itens.</t>
        </is>
      </c>
      <c r="E203" s="17" t="inlineStr">
        <is>
          <t>SA-12</t>
        </is>
      </c>
      <c r="F203" s="17" t="inlineStr">
        <is>
          <t>requirements</t>
        </is>
      </c>
      <c r="G203" s="17" t="inlineStr">
        <is>
          <t>ECO-01</t>
        </is>
      </c>
      <c r="H203" s="17" t="inlineStr">
        <is>
          <t>DOC-C07-009</t>
        </is>
      </c>
      <c r="I203" s="18" t="inlineStr">
        <is>
          <t>DOC-C07-009, all_decisions PROD-01 a PROD-15, cada uma com framework_question_id (FRM-0102 a FRM-0585), dominio e status 'DECISION_DERIVED_FROM_CANDIDATE_EVIDENCE'.</t>
        </is>
      </c>
      <c r="J203" s="17" t="inlineStr">
        <is>
          <t>strong</t>
        </is>
      </c>
      <c r="K203" s="17" t="inlineStr">
        <is>
          <t>0.9</t>
        </is>
      </c>
      <c r="L203" s="17" t="inlineStr">
        <is>
          <t>fact</t>
        </is>
      </c>
    </row>
    <row r="204">
      <c r="A204" s="17" t="inlineStr">
        <is>
          <t>EV-b6eb84e04b</t>
        </is>
      </c>
      <c r="B204" s="17" t="inlineStr">
        <is>
          <t>strategic_analysis</t>
        </is>
      </c>
      <c r="C204" s="17" t="inlineStr">
        <is>
          <t>r1</t>
        </is>
      </c>
      <c r="D204" s="18" t="inlineStr">
        <is>
          <t>Requisito nuclear: a interface deve expor uma unica proxima acao principal e esconder complexidade secundaria.</t>
        </is>
      </c>
      <c r="E204" s="17" t="inlineStr">
        <is>
          <t>SA-12</t>
        </is>
      </c>
      <c r="F204" s="17" t="inlineStr">
        <is>
          <t>requirement</t>
        </is>
      </c>
      <c r="G204" s="17" t="inlineStr">
        <is>
          <t>ECO-01</t>
        </is>
      </c>
      <c r="H204" s="17" t="inlineStr">
        <is>
          <t>DOC-C07-009</t>
        </is>
      </c>
      <c r="I204" s="18" t="inlineStr">
        <is>
          <t>PROD-09 (FRM-0461): 'A interface deve tornar explicita uma unica proxima acao principal e esconder complexidade secundaria ate ser necessaria', confianca MEDIA-ALTA; PROD-12: 'Nos primeiros segundos, mostrar estado atual, resultado necessario e proxima acao - nao o projeto inteiro'.</t>
        </is>
      </c>
      <c r="J204" s="17" t="inlineStr">
        <is>
          <t>strong</t>
        </is>
      </c>
      <c r="K204" s="17" t="inlineStr">
        <is>
          <t>0.85</t>
        </is>
      </c>
      <c r="L204" s="17" t="inlineStr">
        <is>
          <t>fact</t>
        </is>
      </c>
    </row>
    <row r="205">
      <c r="A205" s="17" t="inlineStr">
        <is>
          <t>EV-6e53134824</t>
        </is>
      </c>
      <c r="B205" s="17" t="inlineStr">
        <is>
          <t>strategic_analysis</t>
        </is>
      </c>
      <c r="C205" s="17" t="inlineStr">
        <is>
          <t>r1</t>
        </is>
      </c>
      <c r="D205" s="18" t="inlineStr">
        <is>
          <t>Requisito nuclear: a interface deve expor uma unica proxima acao principal e esconder complexidade secundaria.</t>
        </is>
      </c>
      <c r="E205" s="17" t="inlineStr">
        <is>
          <t>SA-12</t>
        </is>
      </c>
      <c r="F205" s="17" t="inlineStr">
        <is>
          <t>requirement</t>
        </is>
      </c>
      <c r="G205" s="17" t="inlineStr">
        <is>
          <t>ECO-01</t>
        </is>
      </c>
      <c r="H205" s="17" t="inlineStr">
        <is>
          <t>DOC-C07-003</t>
        </is>
      </c>
      <c r="I205" s="18" t="inlineStr">
        <is>
          <t>PROD-09 (FRM-0461): 'A interface deve tornar explicita uma unica proxima acao principal e esconder complexidade secundaria ate ser necessaria', confianca MEDIA-ALTA; PROD-12: 'Nos primeiros segundos, mostrar estado atual, resultado necessario e proxima acao - nao o projeto inteiro'.</t>
        </is>
      </c>
      <c r="J205" s="17" t="inlineStr">
        <is>
          <t>strong</t>
        </is>
      </c>
      <c r="K205" s="17" t="inlineStr">
        <is>
          <t>0.85</t>
        </is>
      </c>
      <c r="L205" s="17" t="inlineStr">
        <is>
          <t>fact</t>
        </is>
      </c>
    </row>
    <row r="206">
      <c r="A206" s="17" t="inlineStr">
        <is>
          <t>EV-4813652f8a</t>
        </is>
      </c>
      <c r="B206" s="17" t="inlineStr">
        <is>
          <t>strategic_analysis</t>
        </is>
      </c>
      <c r="C206" s="17" t="inlineStr">
        <is>
          <t>r1</t>
        </is>
      </c>
      <c r="D206" s="18" t="inlineStr">
        <is>
          <t>Requisito de estado: o contexto e a posicao de execucao devem ser persistidos para que a retomada nao dependa de reconstrucao mental.</t>
        </is>
      </c>
      <c r="E206" s="17" t="inlineStr">
        <is>
          <t>SA-12</t>
        </is>
      </c>
      <c r="F206" s="17" t="inlineStr">
        <is>
          <t>requirement</t>
        </is>
      </c>
      <c r="G206" s="17" t="inlineStr">
        <is>
          <t>ECO-01</t>
        </is>
      </c>
      <c r="H206" s="17" t="inlineStr">
        <is>
          <t>DOC-C07-009</t>
        </is>
      </c>
      <c r="I206" s="18" t="inlineStr">
        <is>
          <t>PROD-13 (FRM-0567): 'Persistir contexto e posicao de execucao para que retomadas nao dependam de reconstrucao mental do projeto'; GP-07 na matriz: 'O sistema deve ser memoria externa do estado operacional'.</t>
        </is>
      </c>
      <c r="J206" s="17" t="inlineStr">
        <is>
          <t>strong</t>
        </is>
      </c>
      <c r="K206" s="17" t="inlineStr">
        <is>
          <t>0.9</t>
        </is>
      </c>
      <c r="L206" s="17" t="inlineStr">
        <is>
          <t>fact</t>
        </is>
      </c>
    </row>
    <row r="207">
      <c r="A207" s="17" t="inlineStr">
        <is>
          <t>EV-43daa92f20</t>
        </is>
      </c>
      <c r="B207" s="17" t="inlineStr">
        <is>
          <t>strategic_analysis</t>
        </is>
      </c>
      <c r="C207" s="17" t="inlineStr">
        <is>
          <t>r1</t>
        </is>
      </c>
      <c r="D207" s="18" t="inlineStr">
        <is>
          <t>Requisito de estado: o contexto e a posicao de execucao devem ser persistidos para que a retomada nao dependa de reconstrucao mental.</t>
        </is>
      </c>
      <c r="E207" s="17" t="inlineStr">
        <is>
          <t>SA-12</t>
        </is>
      </c>
      <c r="F207" s="17" t="inlineStr">
        <is>
          <t>requirement</t>
        </is>
      </c>
      <c r="G207" s="17" t="inlineStr">
        <is>
          <t>ECO-01</t>
        </is>
      </c>
      <c r="H207" s="17" t="inlineStr">
        <is>
          <t>DOC-C07-003</t>
        </is>
      </c>
      <c r="I207" s="18" t="inlineStr">
        <is>
          <t>PROD-13 (FRM-0567): 'Persistir contexto e posicao de execucao para que retomadas nao dependam de reconstrucao mental do projeto'; GP-07 na matriz: 'O sistema deve ser memoria externa do estado operacional'.</t>
        </is>
      </c>
      <c r="J207" s="17" t="inlineStr">
        <is>
          <t>strong</t>
        </is>
      </c>
      <c r="K207" s="17" t="inlineStr">
        <is>
          <t>0.9</t>
        </is>
      </c>
      <c r="L207" s="17" t="inlineStr">
        <is>
          <t>fact</t>
        </is>
      </c>
    </row>
    <row r="208">
      <c r="A208" s="17" t="inlineStr">
        <is>
          <t>EV-d9023dfe16</t>
        </is>
      </c>
      <c r="B208" s="17" t="inlineStr">
        <is>
          <t>strategic_analysis</t>
        </is>
      </c>
      <c r="C208" s="17" t="inlineStr">
        <is>
          <t>r1</t>
        </is>
      </c>
      <c r="D208" s="18" t="inlineStr">
        <is>
          <t>Requisito negativo: o produto deve bloquear usos como diagnostico, substituicao profissional ou inferencia clinica.</t>
        </is>
      </c>
      <c r="E208" s="17" t="inlineStr">
        <is>
          <t>SA-12</t>
        </is>
      </c>
      <c r="F208" s="17" t="inlineStr">
        <is>
          <t>requirement_prohibition</t>
        </is>
      </c>
      <c r="G208" s="17" t="inlineStr">
        <is>
          <t>ECO-01</t>
        </is>
      </c>
      <c r="H208" s="17" t="inlineStr">
        <is>
          <t>DOC-C07-009</t>
        </is>
      </c>
      <c r="I208" s="18" t="inlineStr">
        <is>
          <t>PROD-14 (FRM-0584): 'Bloquear usos do produto como diagnostico, substituicao profissional ou inferencia clinica a partir de desempenho em tarefas'; PROD-08 proibe 'triagem diagnostica baseada em um unico teste, score ou tarefa do app'.</t>
        </is>
      </c>
      <c r="J208" s="17" t="inlineStr">
        <is>
          <t>strong</t>
        </is>
      </c>
      <c r="K208" s="17" t="inlineStr">
        <is>
          <t>0.9</t>
        </is>
      </c>
      <c r="L208" s="17" t="inlineStr">
        <is>
          <t>fact</t>
        </is>
      </c>
    </row>
    <row r="209">
      <c r="A209" s="17" t="inlineStr">
        <is>
          <t>EV-a13a114718</t>
        </is>
      </c>
      <c r="B209" s="17" t="inlineStr">
        <is>
          <t>strategic_analysis</t>
        </is>
      </c>
      <c r="C209" s="17" t="inlineStr">
        <is>
          <t>r1</t>
        </is>
      </c>
      <c r="D209" s="18" t="inlineStr">
        <is>
          <t>Requisito de interrupcao: notificar apenas por eventos criticos; informativas devem ser agrupadas ou adiadas.</t>
        </is>
      </c>
      <c r="E209" s="17" t="inlineStr">
        <is>
          <t>SA-12</t>
        </is>
      </c>
      <c r="F209" s="17" t="inlineStr">
        <is>
          <t>requirement_notifications</t>
        </is>
      </c>
      <c r="G209" s="17" t="inlineStr">
        <is>
          <t>ECO-01</t>
        </is>
      </c>
      <c r="H209" s="17" t="inlineStr">
        <is>
          <t>DOC-C07-009</t>
        </is>
      </c>
      <c r="I209" s="18" t="inlineStr">
        <is>
          <t>PROD-10 (FRM-0485): 'Interromper o usuario apenas por eventos criticos; notificacoes informativas devem ser agrupadas ou adiadas por padrao', confianca MEDIA-ALTA.</t>
        </is>
      </c>
      <c r="J209" s="17" t="inlineStr">
        <is>
          <t>strong</t>
        </is>
      </c>
      <c r="K209" s="17" t="inlineStr">
        <is>
          <t>0.8</t>
        </is>
      </c>
      <c r="L209" s="17" t="inlineStr">
        <is>
          <t>fact</t>
        </is>
      </c>
    </row>
    <row r="210">
      <c r="A210" s="17" t="inlineStr">
        <is>
          <t>EV-6192aa803b</t>
        </is>
      </c>
      <c r="B210" s="17" t="inlineStr">
        <is>
          <t>strategic_analysis</t>
        </is>
      </c>
      <c r="C210" s="17" t="inlineStr">
        <is>
          <t>r1</t>
        </is>
      </c>
      <c r="D210" s="18" t="inlineStr">
        <is>
          <t>Requisito de interrupcao: notificar apenas por eventos criticos; informativas devem ser agrupadas ou adiadas.</t>
        </is>
      </c>
      <c r="E210" s="17" t="inlineStr">
        <is>
          <t>SA-12</t>
        </is>
      </c>
      <c r="F210" s="17" t="inlineStr">
        <is>
          <t>requirement_notifications</t>
        </is>
      </c>
      <c r="G210" s="17" t="inlineStr">
        <is>
          <t>ECO-01</t>
        </is>
      </c>
      <c r="H210" s="17" t="inlineStr">
        <is>
          <t>DOC-C07-007</t>
        </is>
      </c>
      <c r="I210" s="18" t="inlineStr">
        <is>
          <t>PROD-10 (FRM-0485): 'Interromper o usuario apenas por eventos criticos; notificacoes informativas devem ser agrupadas ou adiadas por padrao', confianca MEDIA-ALTA.</t>
        </is>
      </c>
      <c r="J210" s="17" t="inlineStr">
        <is>
          <t>strong</t>
        </is>
      </c>
      <c r="K210" s="17" t="inlineStr">
        <is>
          <t>0.8</t>
        </is>
      </c>
      <c r="L210" s="17" t="inlineStr">
        <is>
          <t>fact</t>
        </is>
      </c>
    </row>
    <row r="211">
      <c r="A211" s="17" t="inlineStr">
        <is>
          <t>EV-58e6cfa1f0</t>
        </is>
      </c>
      <c r="B211" s="17" t="inlineStr">
        <is>
          <t>strategic_analysis</t>
        </is>
      </c>
      <c r="C211" s="17" t="inlineStr">
        <is>
          <t>r1</t>
        </is>
      </c>
      <c r="D211" s="18" t="inlineStr">
        <is>
          <t>Nao existe um MRD consolidado; os requisitos estao dispersos entre decisoes, matriz e visao de oferta.</t>
        </is>
      </c>
      <c r="E211" s="17" t="inlineStr">
        <is>
          <t>SA-12</t>
        </is>
      </c>
      <c r="F211" s="17" t="inlineStr">
        <is>
          <t>mrd_artifact</t>
        </is>
      </c>
      <c r="G211" s="17" t="inlineStr">
        <is>
          <t>ECO-01</t>
        </is>
      </c>
      <c r="H211" s="17" t="inlineStr">
        <is>
          <t>DOC-C07-009</t>
        </is>
      </c>
      <c r="I211" s="18" t="inlineStr">
        <is>
          <t>As fontes de requisito sao DOC-C07-009 (22 decisoes), DOC-C07-003 (11 decisoes de design da matriz) e DOC-C05-001 (features e pilares), sem documento unico que os reuna com prioridade e criterio de aceite.</t>
        </is>
      </c>
      <c r="J211" s="17" t="inlineStr">
        <is>
          <t>none</t>
        </is>
      </c>
      <c r="K211" s="17" t="inlineStr">
        <is>
          <t>0.8</t>
        </is>
      </c>
      <c r="L211" s="17" t="inlineStr">
        <is>
          <t>gap</t>
        </is>
      </c>
    </row>
    <row r="212">
      <c r="A212" s="17" t="inlineStr">
        <is>
          <t>EV-9001b91f63</t>
        </is>
      </c>
      <c r="B212" s="17" t="inlineStr">
        <is>
          <t>strategic_analysis</t>
        </is>
      </c>
      <c r="C212" s="17" t="inlineStr">
        <is>
          <t>r1</t>
        </is>
      </c>
      <c r="D212" s="18" t="inlineStr">
        <is>
          <t>Nao existe um MRD consolidado; os requisitos estao dispersos entre decisoes, matriz e visao de oferta.</t>
        </is>
      </c>
      <c r="E212" s="17" t="inlineStr">
        <is>
          <t>SA-12</t>
        </is>
      </c>
      <c r="F212" s="17" t="inlineStr">
        <is>
          <t>mrd_artifact</t>
        </is>
      </c>
      <c r="G212" s="17" t="inlineStr">
        <is>
          <t>ECO-01</t>
        </is>
      </c>
      <c r="H212" s="17" t="inlineStr">
        <is>
          <t>DOC-C07-003</t>
        </is>
      </c>
      <c r="I212" s="18" t="inlineStr">
        <is>
          <t>As fontes de requisito sao DOC-C07-009 (22 decisoes), DOC-C07-003 (11 decisoes de design da matriz) e DOC-C05-001 (features e pilares), sem documento unico que os reuna com prioridade e criterio de aceite.</t>
        </is>
      </c>
      <c r="J212" s="17" t="inlineStr">
        <is>
          <t>none</t>
        </is>
      </c>
      <c r="K212" s="17" t="inlineStr">
        <is>
          <t>0.8</t>
        </is>
      </c>
      <c r="L212" s="17" t="inlineStr">
        <is>
          <t>gap</t>
        </is>
      </c>
    </row>
    <row r="213">
      <c r="A213" s="17" t="inlineStr">
        <is>
          <t>EV-92dc7c6e64</t>
        </is>
      </c>
      <c r="B213" s="17" t="inlineStr">
        <is>
          <t>strategic_analysis</t>
        </is>
      </c>
      <c r="C213" s="17" t="inlineStr">
        <is>
          <t>r1</t>
        </is>
      </c>
      <c r="D213" s="18" t="inlineStr">
        <is>
          <t>Nao existe um MRD consolidado; os requisitos estao dispersos entre decisoes, matriz e visao de oferta.</t>
        </is>
      </c>
      <c r="E213" s="17" t="inlineStr">
        <is>
          <t>SA-12</t>
        </is>
      </c>
      <c r="F213" s="17" t="inlineStr">
        <is>
          <t>mrd_artifact</t>
        </is>
      </c>
      <c r="G213" s="17" t="inlineStr">
        <is>
          <t>ECO-01</t>
        </is>
      </c>
      <c r="H213" s="17" t="inlineStr">
        <is>
          <t>DOC-C05-001</t>
        </is>
      </c>
      <c r="I213" s="18" t="inlineStr">
        <is>
          <t>As fontes de requisito sao DOC-C07-009 (22 decisoes), DOC-C07-003 (11 decisoes de design da matriz) e DOC-C05-001 (features e pilares), sem documento unico que os reuna com prioridade e criterio de aceite.</t>
        </is>
      </c>
      <c r="J213" s="17" t="inlineStr">
        <is>
          <t>none</t>
        </is>
      </c>
      <c r="K213" s="17" t="inlineStr">
        <is>
          <t>0.8</t>
        </is>
      </c>
      <c r="L213" s="17" t="inlineStr">
        <is>
          <t>gap</t>
        </is>
      </c>
    </row>
    <row r="214">
      <c r="A214" s="17" t="inlineStr">
        <is>
          <t>EV-892b3117a0</t>
        </is>
      </c>
      <c r="B214" s="17" t="inlineStr">
        <is>
          <t>strategic_analysis</t>
        </is>
      </c>
      <c r="C214" s="17" t="inlineStr">
        <is>
          <t>r1</t>
        </is>
      </c>
      <c r="D214" s="18" t="inlineStr">
        <is>
          <t>Ha conflito entre a demonstracao planejada com QR e a decisao tecnica que substituiu QR por reconhecimento de forma.</t>
        </is>
      </c>
      <c r="E214" s="17" t="inlineStr">
        <is>
          <t>SA-12</t>
        </is>
      </c>
      <c r="F214" s="17" t="inlineStr">
        <is>
          <t>product_gap</t>
        </is>
      </c>
      <c r="G214" s="17" t="inlineStr">
        <is>
          <t>ECO-01</t>
        </is>
      </c>
      <c r="H214" s="17" t="inlineStr">
        <is>
          <t>DOC-C11-008</t>
        </is>
      </c>
      <c r="I214" s="18" t="inlineStr">
        <is>
          <t>DOC-C11-008 (Cena B): 'Usar QR/atalho para sair do objeto fisico e abrir o contexto correto'. DOC-C04-002: 'PR #75 substituiu QR impresso pelos 5 simbolos administrativos reconhecidos diretamente por forma na imagem da camera'.</t>
        </is>
      </c>
      <c r="J214" s="17" t="inlineStr">
        <is>
          <t>strong</t>
        </is>
      </c>
      <c r="K214" s="17" t="inlineStr">
        <is>
          <t>0.85</t>
        </is>
      </c>
      <c r="L214" s="17" t="inlineStr">
        <is>
          <t>conflict</t>
        </is>
      </c>
    </row>
    <row r="215">
      <c r="A215" s="17" t="inlineStr">
        <is>
          <t>EV-fb4986141a</t>
        </is>
      </c>
      <c r="B215" s="17" t="inlineStr">
        <is>
          <t>strategic_analysis</t>
        </is>
      </c>
      <c r="C215" s="17" t="inlineStr">
        <is>
          <t>r1</t>
        </is>
      </c>
      <c r="D215" s="18" t="inlineStr">
        <is>
          <t>Ha conflito entre a demonstracao planejada com QR e a decisao tecnica que substituiu QR por reconhecimento de forma.</t>
        </is>
      </c>
      <c r="E215" s="17" t="inlineStr">
        <is>
          <t>SA-12</t>
        </is>
      </c>
      <c r="F215" s="17" t="inlineStr">
        <is>
          <t>product_gap</t>
        </is>
      </c>
      <c r="G215" s="17" t="inlineStr">
        <is>
          <t>ECO-01</t>
        </is>
      </c>
      <c r="H215" s="17" t="inlineStr">
        <is>
          <t>DOC-C04-002</t>
        </is>
      </c>
      <c r="I215" s="18" t="inlineStr">
        <is>
          <t>DOC-C11-008 (Cena B): 'Usar QR/atalho para sair do objeto fisico e abrir o contexto correto'. DOC-C04-002: 'PR #75 substituiu QR impresso pelos 5 simbolos administrativos reconhecidos diretamente por forma na imagem da camera'.</t>
        </is>
      </c>
      <c r="J215" s="17" t="inlineStr">
        <is>
          <t>strong</t>
        </is>
      </c>
      <c r="K215" s="17" t="inlineStr">
        <is>
          <t>0.85</t>
        </is>
      </c>
      <c r="L215" s="17" t="inlineStr">
        <is>
          <t>conflict</t>
        </is>
      </c>
    </row>
    <row r="216">
      <c r="A216" s="17" t="inlineStr">
        <is>
          <t>EV-0010842246</t>
        </is>
      </c>
      <c r="B216" s="17" t="inlineStr">
        <is>
          <t>strategic_analysis</t>
        </is>
      </c>
      <c r="C216" s="17" t="inlineStr">
        <is>
          <t>r1</t>
        </is>
      </c>
      <c r="D216" s="18" t="inlineStr">
        <is>
          <t>O GTM tem capacidade declarada, folga explicita e data de congelamento.</t>
        </is>
      </c>
      <c r="E216" s="17" t="inlineStr">
        <is>
          <t>SA-13</t>
        </is>
      </c>
      <c r="F216" s="17" t="inlineStr">
        <is>
          <t>launch_plan</t>
        </is>
      </c>
      <c r="G216" s="17" t="inlineStr">
        <is>
          <t>ECO-01</t>
        </is>
      </c>
      <c r="H216" s="17" t="inlineStr">
        <is>
          <t>DOC-C06-001</t>
        </is>
      </c>
      <c r="I216" s="18" t="inlineStr">
        <is>
          <t>DOC-C06-001: '12 dias de producao, 10 gates G0-G9, 60h comprometidas, 12h reserva' sobre '72h potenciais'; fases: producao 25/08-05/09, buffer 06/09, lancamento 07/09.</t>
        </is>
      </c>
      <c r="J216" s="17" t="inlineStr">
        <is>
          <t>strong</t>
        </is>
      </c>
      <c r="K216" s="17" t="inlineStr">
        <is>
          <t>0.9</t>
        </is>
      </c>
      <c r="L216" s="17" t="inlineStr">
        <is>
          <t>fact</t>
        </is>
      </c>
    </row>
    <row r="217">
      <c r="A217" s="17" t="inlineStr">
        <is>
          <t>EV-ceeb3f47e4</t>
        </is>
      </c>
      <c r="B217" s="17" t="inlineStr">
        <is>
          <t>strategic_analysis</t>
        </is>
      </c>
      <c r="C217" s="17" t="inlineStr">
        <is>
          <t>r1</t>
        </is>
      </c>
      <c r="D217" s="18" t="inlineStr">
        <is>
          <t>O GTM tem capacidade declarada, folga explicita e data de congelamento.</t>
        </is>
      </c>
      <c r="E217" s="17" t="inlineStr">
        <is>
          <t>SA-13</t>
        </is>
      </c>
      <c r="F217" s="17" t="inlineStr">
        <is>
          <t>launch_plan</t>
        </is>
      </c>
      <c r="G217" s="17" t="inlineStr">
        <is>
          <t>ECO-01</t>
        </is>
      </c>
      <c r="H217" s="17" t="inlineStr">
        <is>
          <t>DOC-C08-011</t>
        </is>
      </c>
      <c r="I217" s="18" t="inlineStr">
        <is>
          <t>DOC-C06-001: '12 dias de producao, 10 gates G0-G9, 60h comprometidas, 12h reserva' sobre '72h potenciais'; fases: producao 25/08-05/09, buffer 06/09, lancamento 07/09.</t>
        </is>
      </c>
      <c r="J217" s="17" t="inlineStr">
        <is>
          <t>strong</t>
        </is>
      </c>
      <c r="K217" s="17" t="inlineStr">
        <is>
          <t>0.9</t>
        </is>
      </c>
      <c r="L217" s="17" t="inlineStr">
        <is>
          <t>fact</t>
        </is>
      </c>
    </row>
    <row r="218">
      <c r="A218" s="17" t="inlineStr">
        <is>
          <t>EV-a501212a76</t>
        </is>
      </c>
      <c r="B218" s="17" t="inlineStr">
        <is>
          <t>strategic_analysis</t>
        </is>
      </c>
      <c r="C218" s="17" t="inlineStr">
        <is>
          <t>r1</t>
        </is>
      </c>
      <c r="D218" s="18" t="inlineStr">
        <is>
          <t>O GTM tem capacidade declarada, folga explicita e data de congelamento.</t>
        </is>
      </c>
      <c r="E218" s="17" t="inlineStr">
        <is>
          <t>SA-13</t>
        </is>
      </c>
      <c r="F218" s="17" t="inlineStr">
        <is>
          <t>launch_plan</t>
        </is>
      </c>
      <c r="G218" s="17" t="inlineStr">
        <is>
          <t>ECO-01</t>
        </is>
      </c>
      <c r="H218" s="17" t="inlineStr">
        <is>
          <t>DOC-C18-002</t>
        </is>
      </c>
      <c r="I218" s="18" t="inlineStr">
        <is>
          <t>DOC-C06-001: '12 dias de producao, 10 gates G0-G9, 60h comprometidas, 12h reserva' sobre '72h potenciais'; fases: producao 25/08-05/09, buffer 06/09, lancamento 07/09.</t>
        </is>
      </c>
      <c r="J218" s="17" t="inlineStr">
        <is>
          <t>strong</t>
        </is>
      </c>
      <c r="K218" s="17" t="inlineStr">
        <is>
          <t>0.9</t>
        </is>
      </c>
      <c r="L218" s="17" t="inlineStr">
        <is>
          <t>fact</t>
        </is>
      </c>
    </row>
    <row r="219">
      <c r="A219" s="17" t="inlineStr">
        <is>
          <t>EV-3f54b23418</t>
        </is>
      </c>
      <c r="B219" s="17" t="inlineStr">
        <is>
          <t>strategic_analysis</t>
        </is>
      </c>
      <c r="C219" s="17" t="inlineStr">
        <is>
          <t>r1</t>
        </is>
      </c>
      <c r="D219" s="18" t="inlineStr">
        <is>
          <t>A cadeia de valor do lancamento e sequencial em dez gates, do control plane ao launch.</t>
        </is>
      </c>
      <c r="E219" s="17" t="inlineStr">
        <is>
          <t>SA-13</t>
        </is>
      </c>
      <c r="F219" s="17" t="inlineStr">
        <is>
          <t>launch_gates</t>
        </is>
      </c>
      <c r="G219" s="17" t="inlineStr">
        <is>
          <t>ECO-01</t>
        </is>
      </c>
      <c r="H219" s="17" t="inlineStr">
        <is>
          <t>DOC-C06-001</t>
        </is>
      </c>
      <c r="I219" s="18" t="inlineStr">
        <is>
          <t>DOC-C06-001: 'G0 Control Plane, G1 Destinos, G2 Commerce, G3 Editorial, G4 Derivados, G5 Showroom, G6 Distribuicao, G7 Tracking, G8 Freeze, G9 Launch'; regra: 'Nao: produzir tudo -&gt; acumular -&gt; tentar publicar tudo em 06/09'.</t>
        </is>
      </c>
      <c r="J219" s="17" t="inlineStr">
        <is>
          <t>strong</t>
        </is>
      </c>
      <c r="K219" s="17" t="inlineStr">
        <is>
          <t>0.9</t>
        </is>
      </c>
      <c r="L219" s="17" t="inlineStr">
        <is>
          <t>fact</t>
        </is>
      </c>
    </row>
    <row r="220">
      <c r="A220" s="17" t="inlineStr">
        <is>
          <t>EV-407ec820ca</t>
        </is>
      </c>
      <c r="B220" s="17" t="inlineStr">
        <is>
          <t>strategic_analysis</t>
        </is>
      </c>
      <c r="C220" s="17" t="inlineStr">
        <is>
          <t>r1</t>
        </is>
      </c>
      <c r="D220" s="18" t="inlineStr">
        <is>
          <t>A cadeia de valor do lancamento e sequencial em dez gates, do control plane ao launch.</t>
        </is>
      </c>
      <c r="E220" s="17" t="inlineStr">
        <is>
          <t>SA-13</t>
        </is>
      </c>
      <c r="F220" s="17" t="inlineStr">
        <is>
          <t>launch_gates</t>
        </is>
      </c>
      <c r="G220" s="17" t="inlineStr">
        <is>
          <t>ECO-01</t>
        </is>
      </c>
      <c r="H220" s="17" t="inlineStr">
        <is>
          <t>DOC-C08-011</t>
        </is>
      </c>
      <c r="I220" s="18" t="inlineStr">
        <is>
          <t>DOC-C06-001: 'G0 Control Plane, G1 Destinos, G2 Commerce, G3 Editorial, G4 Derivados, G5 Showroom, G6 Distribuicao, G7 Tracking, G8 Freeze, G9 Launch'; regra: 'Nao: produzir tudo -&gt; acumular -&gt; tentar publicar tudo em 06/09'.</t>
        </is>
      </c>
      <c r="J220" s="17" t="inlineStr">
        <is>
          <t>strong</t>
        </is>
      </c>
      <c r="K220" s="17" t="inlineStr">
        <is>
          <t>0.9</t>
        </is>
      </c>
      <c r="L220" s="17" t="inlineStr">
        <is>
          <t>fact</t>
        </is>
      </c>
    </row>
    <row r="221">
      <c r="A221" s="17" t="inlineStr">
        <is>
          <t>EV-860b31dbd4</t>
        </is>
      </c>
      <c r="B221" s="17" t="inlineStr">
        <is>
          <t>strategic_analysis</t>
        </is>
      </c>
      <c r="C221" s="17" t="inlineStr">
        <is>
          <t>r1</t>
        </is>
      </c>
      <c r="D221" s="17" t="inlineStr">
        <is>
          <t>Existem dez criterios objetivos de congelamento em 05/09.</t>
        </is>
      </c>
      <c r="E221" s="17" t="inlineStr">
        <is>
          <t>SA-13</t>
        </is>
      </c>
      <c r="F221" s="17" t="inlineStr">
        <is>
          <t>launch_criteria</t>
        </is>
      </c>
      <c r="G221" s="17" t="inlineStr">
        <is>
          <t>ECO-01</t>
        </is>
      </c>
      <c r="H221" s="17" t="inlineStr">
        <is>
          <t>DOC-C08-007</t>
        </is>
      </c>
      <c r="I221" s="18" t="inlineStr">
        <is>
          <t>DOC-C08-007: paginas criticas abrem em celular e computador; chamadas chegam ao destino; formularios recebem; ofertas digitais cadastradas; afiliados identificados; pecas publicadas ou agendadas; demonstracoes acessiveis; redes agendadas; medicao basica funciona; nenhuma entrega critica aguardando producao.</t>
        </is>
      </c>
      <c r="J221" s="17" t="inlineStr">
        <is>
          <t>strong</t>
        </is>
      </c>
      <c r="K221" s="17" t="inlineStr">
        <is>
          <t>0.9</t>
        </is>
      </c>
      <c r="L221" s="17" t="inlineStr">
        <is>
          <t>fact</t>
        </is>
      </c>
    </row>
    <row r="222">
      <c r="A222" s="17" t="inlineStr">
        <is>
          <t>EV-5784755cf8</t>
        </is>
      </c>
      <c r="B222" s="17" t="inlineStr">
        <is>
          <t>strategic_analysis</t>
        </is>
      </c>
      <c r="C222" s="17" t="inlineStr">
        <is>
          <t>r1</t>
        </is>
      </c>
      <c r="D222" s="17" t="inlineStr">
        <is>
          <t>Existem dez criterios objetivos de congelamento em 05/09.</t>
        </is>
      </c>
      <c r="E222" s="17" t="inlineStr">
        <is>
          <t>SA-13</t>
        </is>
      </c>
      <c r="F222" s="17" t="inlineStr">
        <is>
          <t>launch_criteria</t>
        </is>
      </c>
      <c r="G222" s="17" t="inlineStr">
        <is>
          <t>ECO-01</t>
        </is>
      </c>
      <c r="H222" s="17" t="inlineStr">
        <is>
          <t>DOC-C16-003</t>
        </is>
      </c>
      <c r="I222" s="18" t="inlineStr">
        <is>
          <t>DOC-C08-007: paginas criticas abrem em celular e computador; chamadas chegam ao destino; formularios recebem; ofertas digitais cadastradas; afiliados identificados; pecas publicadas ou agendadas; demonstracoes acessiveis; redes agendadas; medicao basica funciona; nenhuma entrega critica aguardando producao.</t>
        </is>
      </c>
      <c r="J222" s="17" t="inlineStr">
        <is>
          <t>strong</t>
        </is>
      </c>
      <c r="K222" s="17" t="inlineStr">
        <is>
          <t>0.9</t>
        </is>
      </c>
      <c r="L222" s="17" t="inlineStr">
        <is>
          <t>fact</t>
        </is>
      </c>
    </row>
    <row r="223">
      <c r="A223" s="17" t="inlineStr">
        <is>
          <t>EV-9c7c43bbdd</t>
        </is>
      </c>
      <c r="B223" s="17" t="inlineStr">
        <is>
          <t>strategic_analysis</t>
        </is>
      </c>
      <c r="C223" s="17" t="inlineStr">
        <is>
          <t>r1</t>
        </is>
      </c>
      <c r="D223" s="18" t="inlineStr">
        <is>
          <t>A estrategia de canais foi simplificada: blog como peca-mae e um canal principal de video com playlists.</t>
        </is>
      </c>
      <c r="E223" s="17" t="inlineStr">
        <is>
          <t>SA-13</t>
        </is>
      </c>
      <c r="F223" s="17" t="inlineStr">
        <is>
          <t>channels</t>
        </is>
      </c>
      <c r="G223" s="17" t="inlineStr">
        <is>
          <t>ECO-02</t>
        </is>
      </c>
      <c r="H223" s="17" t="inlineStr">
        <is>
          <t>DOC-C05-001</t>
        </is>
      </c>
      <c r="I223" s="18" t="inlineStr">
        <is>
          <t>DOC-C05-001: 'Blog como peca-mae editorial, YouTube com videos majoritariamente verticais, reaproveitamento em Instagram e TikTok, e LinkedIn com abordagem mais tecnica'; QL-0038: 'A estrategia de cinco canais e substituida por um canal principal com playlists'.</t>
        </is>
      </c>
      <c r="J223" s="17" t="inlineStr">
        <is>
          <t>strong</t>
        </is>
      </c>
      <c r="K223" s="17" t="inlineStr">
        <is>
          <t>0.85</t>
        </is>
      </c>
      <c r="L223" s="17" t="inlineStr">
        <is>
          <t>fact</t>
        </is>
      </c>
    </row>
    <row r="224">
      <c r="A224" s="17" t="inlineStr">
        <is>
          <t>EV-fceda28eb2</t>
        </is>
      </c>
      <c r="B224" s="17" t="inlineStr">
        <is>
          <t>strategic_analysis</t>
        </is>
      </c>
      <c r="C224" s="17" t="inlineStr">
        <is>
          <t>r1</t>
        </is>
      </c>
      <c r="D224" s="18" t="inlineStr">
        <is>
          <t>A estrategia de canais foi simplificada: blog como peca-mae e um canal principal de video com playlists.</t>
        </is>
      </c>
      <c r="E224" s="17" t="inlineStr">
        <is>
          <t>SA-13</t>
        </is>
      </c>
      <c r="F224" s="17" t="inlineStr">
        <is>
          <t>channels</t>
        </is>
      </c>
      <c r="G224" s="17" t="inlineStr">
        <is>
          <t>ECO-02</t>
        </is>
      </c>
      <c r="H224" s="17" t="inlineStr">
        <is>
          <t>DOC-C07-007</t>
        </is>
      </c>
      <c r="I224" s="18" t="inlineStr">
        <is>
          <t>DOC-C05-001: 'Blog como peca-mae editorial, YouTube com videos majoritariamente verticais, reaproveitamento em Instagram e TikTok, e LinkedIn com abordagem mais tecnica'; QL-0038: 'A estrategia de cinco canais e substituida por um canal principal com playlists'.</t>
        </is>
      </c>
      <c r="J224" s="17" t="inlineStr">
        <is>
          <t>strong</t>
        </is>
      </c>
      <c r="K224" s="17" t="inlineStr">
        <is>
          <t>0.85</t>
        </is>
      </c>
      <c r="L224" s="17" t="inlineStr">
        <is>
          <t>fact</t>
        </is>
      </c>
    </row>
    <row r="225">
      <c r="A225" s="17" t="inlineStr">
        <is>
          <t>EV-f49ba55ea7</t>
        </is>
      </c>
      <c r="B225" s="17" t="inlineStr">
        <is>
          <t>strategic_analysis</t>
        </is>
      </c>
      <c r="C225" s="17" t="inlineStr">
        <is>
          <t>r1</t>
        </is>
      </c>
      <c r="D225" s="18" t="inlineStr">
        <is>
          <t>A escolha do blog como canal inicial e uma hipotese declarada, nao um resultado medido.</t>
        </is>
      </c>
      <c r="E225" s="17" t="inlineStr">
        <is>
          <t>SA-13</t>
        </is>
      </c>
      <c r="F225" s="17" t="inlineStr">
        <is>
          <t>channel_hypothesis</t>
        </is>
      </c>
      <c r="G225" s="17" t="inlineStr">
        <is>
          <t>ECO-02</t>
        </is>
      </c>
      <c r="H225" s="17" t="inlineStr">
        <is>
          <t>DOC-C07-007</t>
        </is>
      </c>
      <c r="I225" s="18" t="inlineStr">
        <is>
          <t>QL-000057: 'A equipe decidiu priorizar um blog visual-first com newsletter como canal inicial, com a hipotese de que blogs gerariam mais leads qualificados do que redes sociais dispersas para este publico'.</t>
        </is>
      </c>
      <c r="J225" s="17" t="inlineStr">
        <is>
          <t>moderate</t>
        </is>
      </c>
      <c r="K225" s="17" t="inlineStr">
        <is>
          <t>0.75</t>
        </is>
      </c>
      <c r="L225" s="17" t="inlineStr">
        <is>
          <t>fact</t>
        </is>
      </c>
    </row>
    <row r="226">
      <c r="A226" s="17" t="inlineStr">
        <is>
          <t>EV-5d88a12b02</t>
        </is>
      </c>
      <c r="B226" s="17" t="inlineStr">
        <is>
          <t>strategic_analysis</t>
        </is>
      </c>
      <c r="C226" s="17" t="inlineStr">
        <is>
          <t>r1</t>
        </is>
      </c>
      <c r="D226" s="18" t="inlineStr">
        <is>
          <t>A campanha inaugural do Risco Cognitivo tem escopo fechado: 14 dias, 18 ativos, CTA editorial.</t>
        </is>
      </c>
      <c r="E226" s="17" t="inlineStr">
        <is>
          <t>SA-13</t>
        </is>
      </c>
      <c r="F226" s="17" t="inlineStr">
        <is>
          <t>campaign</t>
        </is>
      </c>
      <c r="G226" s="17" t="inlineStr">
        <is>
          <t>ECO-02</t>
        </is>
      </c>
      <c r="H226" s="17" t="inlineStr">
        <is>
          <t>DOC-C02-043</t>
        </is>
      </c>
      <c r="I226" s="18" t="inlineStr">
        <is>
          <t>DOC-C02-043: 'Nome: Antes do Projeto Existe o Risco Cognitivo. Duracao: 14 dias... Pacote: 1 artigo, 1 newsletter, 1 video principal, 3 videos curtos, 2 carrosseis, 6 posts curtos, 1 infografico, 1 checklist, 1 lead magnet e 1 landing page - 18 ativos principais'; cronograma D1-D14 detalhado em DOC-C02-039.</t>
        </is>
      </c>
      <c r="J226" s="17" t="inlineStr">
        <is>
          <t>strong</t>
        </is>
      </c>
      <c r="K226" s="17" t="inlineStr">
        <is>
          <t>0.9</t>
        </is>
      </c>
      <c r="L226" s="17" t="inlineStr">
        <is>
          <t>fact</t>
        </is>
      </c>
    </row>
    <row r="227">
      <c r="A227" s="17" t="inlineStr">
        <is>
          <t>EV-2fb9bffce3</t>
        </is>
      </c>
      <c r="B227" s="17" t="inlineStr">
        <is>
          <t>strategic_analysis</t>
        </is>
      </c>
      <c r="C227" s="17" t="inlineStr">
        <is>
          <t>r1</t>
        </is>
      </c>
      <c r="D227" s="18" t="inlineStr">
        <is>
          <t>A campanha inaugural do Risco Cognitivo tem escopo fechado: 14 dias, 18 ativos, CTA editorial.</t>
        </is>
      </c>
      <c r="E227" s="17" t="inlineStr">
        <is>
          <t>SA-13</t>
        </is>
      </c>
      <c r="F227" s="17" t="inlineStr">
        <is>
          <t>campaign</t>
        </is>
      </c>
      <c r="G227" s="17" t="inlineStr">
        <is>
          <t>ECO-02</t>
        </is>
      </c>
      <c r="H227" s="17" t="inlineStr">
        <is>
          <t>DOC-C02-039</t>
        </is>
      </c>
      <c r="I227" s="18" t="inlineStr">
        <is>
          <t>DOC-C02-043: 'Nome: Antes do Projeto Existe o Risco Cognitivo. Duracao: 14 dias... Pacote: 1 artigo, 1 newsletter, 1 video principal, 3 videos curtos, 2 carrosseis, 6 posts curtos, 1 infografico, 1 checklist, 1 lead magnet e 1 landing page - 18 ativos principais'; cronograma D1-D14 detalhado em DOC-C02-039.</t>
        </is>
      </c>
      <c r="J227" s="17" t="inlineStr">
        <is>
          <t>strong</t>
        </is>
      </c>
      <c r="K227" s="17" t="inlineStr">
        <is>
          <t>0.9</t>
        </is>
      </c>
      <c r="L227" s="17" t="inlineStr">
        <is>
          <t>fact</t>
        </is>
      </c>
    </row>
    <row r="228">
      <c r="A228" s="17" t="inlineStr">
        <is>
          <t>EV-9661c13eee</t>
        </is>
      </c>
      <c r="B228" s="17" t="inlineStr">
        <is>
          <t>strategic_analysis</t>
        </is>
      </c>
      <c r="C228" s="17" t="inlineStr">
        <is>
          <t>r1</t>
        </is>
      </c>
      <c r="D228" s="18" t="inlineStr">
        <is>
          <t>A campanha inaugural do Risco Cognitivo tem escopo fechado: 14 dias, 18 ativos, CTA editorial.</t>
        </is>
      </c>
      <c r="E228" s="17" t="inlineStr">
        <is>
          <t>SA-13</t>
        </is>
      </c>
      <c r="F228" s="17" t="inlineStr">
        <is>
          <t>campaign</t>
        </is>
      </c>
      <c r="G228" s="17" t="inlineStr">
        <is>
          <t>ECO-02</t>
        </is>
      </c>
      <c r="H228" s="17" t="inlineStr">
        <is>
          <t>DOC-C02-014</t>
        </is>
      </c>
      <c r="I228" s="18" t="inlineStr">
        <is>
          <t>DOC-C02-043: 'Nome: Antes do Projeto Existe o Risco Cognitivo. Duracao: 14 dias... Pacote: 1 artigo, 1 newsletter, 1 video principal, 3 videos curtos, 2 carrosseis, 6 posts curtos, 1 infografico, 1 checklist, 1 lead magnet e 1 landing page - 18 ativos principais'; cronograma D1-D14 detalhado em DOC-C02-039.</t>
        </is>
      </c>
      <c r="J228" s="17" t="inlineStr">
        <is>
          <t>strong</t>
        </is>
      </c>
      <c r="K228" s="17" t="inlineStr">
        <is>
          <t>0.9</t>
        </is>
      </c>
      <c r="L228" s="17" t="inlineStr">
        <is>
          <t>fact</t>
        </is>
      </c>
    </row>
    <row r="229">
      <c r="A229" s="17" t="inlineStr">
        <is>
          <t>EV-51a2a417ea</t>
        </is>
      </c>
      <c r="B229" s="17" t="inlineStr">
        <is>
          <t>strategic_analysis</t>
        </is>
      </c>
      <c r="C229" s="17" t="inlineStr">
        <is>
          <t>r1</t>
        </is>
      </c>
      <c r="D229" s="18" t="inlineStr">
        <is>
          <t>Ha conflito sobre a extensao do artigo fundador entre dois documentos do mesmo pacote.</t>
        </is>
      </c>
      <c r="E229" s="17" t="inlineStr">
        <is>
          <t>SA-13</t>
        </is>
      </c>
      <c r="F229" s="17" t="inlineStr">
        <is>
          <t>content_spec</t>
        </is>
      </c>
      <c r="G229" s="17" t="inlineStr">
        <is>
          <t>ECO-02</t>
        </is>
      </c>
      <c r="H229" s="17" t="inlineStr">
        <is>
          <t>DOC-C01-004</t>
        </is>
      </c>
      <c r="I229" s="18" t="inlineStr">
        <is>
          <t>DOC-C01-004 (Execute): 'Escreva primeiro aproximadamente 2.500-3.500 palavras'. DOC-C02-043 e DOC-C02-042: 'Meta atual: 1.200-1.800 palavras e 14-18 paragrafos; a proposta anterior de cerca de 3.000 palavras foi descartada' e RC-040 registra a revisao.</t>
        </is>
      </c>
      <c r="J229" s="17" t="inlineStr">
        <is>
          <t>strong</t>
        </is>
      </c>
      <c r="K229" s="17" t="inlineStr">
        <is>
          <t>0.85</t>
        </is>
      </c>
      <c r="L229" s="17" t="inlineStr">
        <is>
          <t>conflict</t>
        </is>
      </c>
    </row>
    <row r="230">
      <c r="A230" s="17" t="inlineStr">
        <is>
          <t>EV-019129319f</t>
        </is>
      </c>
      <c r="B230" s="17" t="inlineStr">
        <is>
          <t>strategic_analysis</t>
        </is>
      </c>
      <c r="C230" s="17" t="inlineStr">
        <is>
          <t>r1</t>
        </is>
      </c>
      <c r="D230" s="18" t="inlineStr">
        <is>
          <t>Ha conflito sobre a extensao do artigo fundador entre dois documentos do mesmo pacote.</t>
        </is>
      </c>
      <c r="E230" s="17" t="inlineStr">
        <is>
          <t>SA-13</t>
        </is>
      </c>
      <c r="F230" s="17" t="inlineStr">
        <is>
          <t>content_spec</t>
        </is>
      </c>
      <c r="G230" s="17" t="inlineStr">
        <is>
          <t>ECO-02</t>
        </is>
      </c>
      <c r="H230" s="17" t="inlineStr">
        <is>
          <t>DOC-C02-043</t>
        </is>
      </c>
      <c r="I230" s="18" t="inlineStr">
        <is>
          <t>DOC-C01-004 (Execute): 'Escreva primeiro aproximadamente 2.500-3.500 palavras'. DOC-C02-043 e DOC-C02-042: 'Meta atual: 1.200-1.800 palavras e 14-18 paragrafos; a proposta anterior de cerca de 3.000 palavras foi descartada' e RC-040 registra a revisao.</t>
        </is>
      </c>
      <c r="J230" s="17" t="inlineStr">
        <is>
          <t>strong</t>
        </is>
      </c>
      <c r="K230" s="17" t="inlineStr">
        <is>
          <t>0.85</t>
        </is>
      </c>
      <c r="L230" s="17" t="inlineStr">
        <is>
          <t>conflict</t>
        </is>
      </c>
    </row>
    <row r="231">
      <c r="A231" s="17" t="inlineStr">
        <is>
          <t>EV-04336eeb0f</t>
        </is>
      </c>
      <c r="B231" s="17" t="inlineStr">
        <is>
          <t>strategic_analysis</t>
        </is>
      </c>
      <c r="C231" s="17" t="inlineStr">
        <is>
          <t>r1</t>
        </is>
      </c>
      <c r="D231" s="18" t="inlineStr">
        <is>
          <t>Ha conflito sobre a extensao do artigo fundador entre dois documentos do mesmo pacote.</t>
        </is>
      </c>
      <c r="E231" s="17" t="inlineStr">
        <is>
          <t>SA-13</t>
        </is>
      </c>
      <c r="F231" s="17" t="inlineStr">
        <is>
          <t>content_spec</t>
        </is>
      </c>
      <c r="G231" s="17" t="inlineStr">
        <is>
          <t>ECO-02</t>
        </is>
      </c>
      <c r="H231" s="17" t="inlineStr">
        <is>
          <t>DOC-C02-042</t>
        </is>
      </c>
      <c r="I231" s="18" t="inlineStr">
        <is>
          <t>DOC-C01-004 (Execute): 'Escreva primeiro aproximadamente 2.500-3.500 palavras'. DOC-C02-043 e DOC-C02-042: 'Meta atual: 1.200-1.800 palavras e 14-18 paragrafos; a proposta anterior de cerca de 3.000 palavras foi descartada' e RC-040 registra a revisao.</t>
        </is>
      </c>
      <c r="J231" s="17" t="inlineStr">
        <is>
          <t>strong</t>
        </is>
      </c>
      <c r="K231" s="17" t="inlineStr">
        <is>
          <t>0.85</t>
        </is>
      </c>
      <c r="L231" s="17" t="inlineStr">
        <is>
          <t>conflict</t>
        </is>
      </c>
    </row>
    <row r="232">
      <c r="A232" s="17" t="inlineStr">
        <is>
          <t>EV-36ecd5dd68</t>
        </is>
      </c>
      <c r="B232" s="17" t="inlineStr">
        <is>
          <t>strategic_analysis</t>
        </is>
      </c>
      <c r="C232" s="17" t="inlineStr">
        <is>
          <t>r1</t>
        </is>
      </c>
      <c r="D232" s="18" t="inlineStr">
        <is>
          <t>Ha conflito sobre a extensao do artigo fundador entre dois documentos do mesmo pacote.</t>
        </is>
      </c>
      <c r="E232" s="17" t="inlineStr">
        <is>
          <t>SA-13</t>
        </is>
      </c>
      <c r="F232" s="17" t="inlineStr">
        <is>
          <t>content_spec</t>
        </is>
      </c>
      <c r="G232" s="17" t="inlineStr">
        <is>
          <t>ECO-02</t>
        </is>
      </c>
      <c r="H232" s="17" t="inlineStr">
        <is>
          <t>DOC-C02-014</t>
        </is>
      </c>
      <c r="I232" s="18" t="inlineStr">
        <is>
          <t>DOC-C01-004 (Execute): 'Escreva primeiro aproximadamente 2.500-3.500 palavras'. DOC-C02-043 e DOC-C02-042: 'Meta atual: 1.200-1.800 palavras e 14-18 paragrafos; a proposta anterior de cerca de 3.000 palavras foi descartada' e RC-040 registra a revisao.</t>
        </is>
      </c>
      <c r="J232" s="17" t="inlineStr">
        <is>
          <t>strong</t>
        </is>
      </c>
      <c r="K232" s="17" t="inlineStr">
        <is>
          <t>0.85</t>
        </is>
      </c>
      <c r="L232" s="17" t="inlineStr">
        <is>
          <t>conflict</t>
        </is>
      </c>
    </row>
    <row r="233">
      <c r="A233" s="17" t="inlineStr">
        <is>
          <t>EV-c8cc18ef55</t>
        </is>
      </c>
      <c r="B233" s="17" t="inlineStr">
        <is>
          <t>strategic_analysis</t>
        </is>
      </c>
      <c r="C233" s="17" t="inlineStr">
        <is>
          <t>r1</t>
        </is>
      </c>
      <c r="D233" s="18" t="inlineStr">
        <is>
          <t>O CTA Registry com dez destinos e requisito previo a producao de qualquer peca.</t>
        </is>
      </c>
      <c r="E233" s="17" t="inlineStr">
        <is>
          <t>SA-13</t>
        </is>
      </c>
      <c r="F233" s="17" t="inlineStr">
        <is>
          <t>cta_registry</t>
        </is>
      </c>
      <c r="G233" s="17" t="inlineStr">
        <is>
          <t>ECO-01</t>
        </is>
      </c>
      <c r="H233" s="17" t="inlineStr">
        <is>
          <t>DOC-C06-001</t>
        </is>
      </c>
      <c r="I233" s="18" t="inlineStr">
        <is>
          <t>DOC-C06-001: 'CTA Registry - obrigatorio antes de produzir. Assim nenhuma peca termina com adicionar CTA depois'; DOC-C02-004 registra SAS-44/CTAREG-01 com DoD '10 CTAs com destino e oferta definidos e publicados no registry'.</t>
        </is>
      </c>
      <c r="J233" s="17" t="inlineStr">
        <is>
          <t>strong</t>
        </is>
      </c>
      <c r="K233" s="17" t="inlineStr">
        <is>
          <t>0.9</t>
        </is>
      </c>
      <c r="L233" s="17" t="inlineStr">
        <is>
          <t>fact</t>
        </is>
      </c>
    </row>
    <row r="234">
      <c r="A234" s="17" t="inlineStr">
        <is>
          <t>EV-bf62c50f8f</t>
        </is>
      </c>
      <c r="B234" s="17" t="inlineStr">
        <is>
          <t>strategic_analysis</t>
        </is>
      </c>
      <c r="C234" s="17" t="inlineStr">
        <is>
          <t>r1</t>
        </is>
      </c>
      <c r="D234" s="18" t="inlineStr">
        <is>
          <t>O CTA Registry com dez destinos e requisito previo a producao de qualquer peca.</t>
        </is>
      </c>
      <c r="E234" s="17" t="inlineStr">
        <is>
          <t>SA-13</t>
        </is>
      </c>
      <c r="F234" s="17" t="inlineStr">
        <is>
          <t>cta_registry</t>
        </is>
      </c>
      <c r="G234" s="17" t="inlineStr">
        <is>
          <t>ECO-01</t>
        </is>
      </c>
      <c r="H234" s="17" t="inlineStr">
        <is>
          <t>DOC-C02-004</t>
        </is>
      </c>
      <c r="I234" s="18" t="inlineStr">
        <is>
          <t>DOC-C06-001: 'CTA Registry - obrigatorio antes de produzir. Assim nenhuma peca termina com adicionar CTA depois'; DOC-C02-004 registra SAS-44/CTAREG-01 com DoD '10 CTAs com destino e oferta definidos e publicados no registry'.</t>
        </is>
      </c>
      <c r="J234" s="17" t="inlineStr">
        <is>
          <t>strong</t>
        </is>
      </c>
      <c r="K234" s="17" t="inlineStr">
        <is>
          <t>0.9</t>
        </is>
      </c>
      <c r="L234" s="17" t="inlineStr">
        <is>
          <t>fact</t>
        </is>
      </c>
    </row>
    <row r="235">
      <c r="A235" s="17" t="inlineStr">
        <is>
          <t>EV-77d4033b5f</t>
        </is>
      </c>
      <c r="B235" s="17" t="inlineStr">
        <is>
          <t>strategic_analysis</t>
        </is>
      </c>
      <c r="C235" s="17" t="inlineStr">
        <is>
          <t>r1</t>
        </is>
      </c>
      <c r="D235" s="18" t="inlineStr">
        <is>
          <t>O CTA Registry com dez destinos e requisito previo a producao de qualquer peca.</t>
        </is>
      </c>
      <c r="E235" s="17" t="inlineStr">
        <is>
          <t>SA-13</t>
        </is>
      </c>
      <c r="F235" s="17" t="inlineStr">
        <is>
          <t>cta_registry</t>
        </is>
      </c>
      <c r="G235" s="17" t="inlineStr">
        <is>
          <t>ECO-01</t>
        </is>
      </c>
      <c r="H235" s="17" t="inlineStr">
        <is>
          <t>DOC-C08-003</t>
        </is>
      </c>
      <c r="I235" s="18" t="inlineStr">
        <is>
          <t>DOC-C06-001: 'CTA Registry - obrigatorio antes de produzir. Assim nenhuma peca termina com adicionar CTA depois'; DOC-C02-004 registra SAS-44/CTAREG-01 com DoD '10 CTAs com destino e oferta definidos e publicados no registry'.</t>
        </is>
      </c>
      <c r="J235" s="17" t="inlineStr">
        <is>
          <t>strong</t>
        </is>
      </c>
      <c r="K235" s="17" t="inlineStr">
        <is>
          <t>0.9</t>
        </is>
      </c>
      <c r="L235" s="17" t="inlineStr">
        <is>
          <t>fact</t>
        </is>
      </c>
    </row>
    <row r="236">
      <c r="A236" s="17" t="inlineStr">
        <is>
          <t>EV-45fe8f3a61</t>
        </is>
      </c>
      <c r="B236" s="17" t="inlineStr">
        <is>
          <t>strategic_analysis</t>
        </is>
      </c>
      <c r="C236" s="17" t="inlineStr">
        <is>
          <t>r1</t>
        </is>
      </c>
      <c r="D236" s="18" t="inlineStr">
        <is>
          <t>As pecas editoriais estao com chamada, destino e brinde por preencher, e a agenda mestra esta vazia.</t>
        </is>
      </c>
      <c r="E236" s="17" t="inlineStr">
        <is>
          <t>SA-13</t>
        </is>
      </c>
      <c r="F236" s="17" t="inlineStr">
        <is>
          <t>execution_gap</t>
        </is>
      </c>
      <c r="G236" s="17" t="inlineStr">
        <is>
          <t>ECO-02</t>
        </is>
      </c>
      <c r="H236" s="17" t="inlineStr">
        <is>
          <t>DOC-C10-008</t>
        </is>
      </c>
      <c r="I236" s="18" t="inlineStr">
        <is>
          <t>DOC-C10-008: 'chamada principal: [PREENCHER] - destino: [PREENCHER] - brinde: [PREENCHER ou NAO SE APLICA]'; DOC-C14-007: todas as linhas da agenda mestra com Data 'preencher' e Estado 'planejar'.</t>
        </is>
      </c>
      <c r="J236" s="17" t="inlineStr">
        <is>
          <t>strong</t>
        </is>
      </c>
      <c r="K236" s="17" t="inlineStr">
        <is>
          <t>0.9</t>
        </is>
      </c>
      <c r="L236" s="17" t="inlineStr">
        <is>
          <t>fact</t>
        </is>
      </c>
    </row>
    <row r="237">
      <c r="A237" s="17" t="inlineStr">
        <is>
          <t>EV-c767121944</t>
        </is>
      </c>
      <c r="B237" s="17" t="inlineStr">
        <is>
          <t>strategic_analysis</t>
        </is>
      </c>
      <c r="C237" s="17" t="inlineStr">
        <is>
          <t>r1</t>
        </is>
      </c>
      <c r="D237" s="18" t="inlineStr">
        <is>
          <t>As pecas editoriais estao com chamada, destino e brinde por preencher, e a agenda mestra esta vazia.</t>
        </is>
      </c>
      <c r="E237" s="17" t="inlineStr">
        <is>
          <t>SA-13</t>
        </is>
      </c>
      <c r="F237" s="17" t="inlineStr">
        <is>
          <t>execution_gap</t>
        </is>
      </c>
      <c r="G237" s="17" t="inlineStr">
        <is>
          <t>ECO-02</t>
        </is>
      </c>
      <c r="H237" s="17" t="inlineStr">
        <is>
          <t>DOC-C14-007</t>
        </is>
      </c>
      <c r="I237" s="18" t="inlineStr">
        <is>
          <t>DOC-C10-008: 'chamada principal: [PREENCHER] - destino: [PREENCHER] - brinde: [PREENCHER ou NAO SE APLICA]'; DOC-C14-007: todas as linhas da agenda mestra com Data 'preencher' e Estado 'planejar'.</t>
        </is>
      </c>
      <c r="J237" s="17" t="inlineStr">
        <is>
          <t>strong</t>
        </is>
      </c>
      <c r="K237" s="17" t="inlineStr">
        <is>
          <t>0.9</t>
        </is>
      </c>
      <c r="L237" s="17" t="inlineStr">
        <is>
          <t>fact</t>
        </is>
      </c>
    </row>
    <row r="238">
      <c r="A238" s="17" t="inlineStr">
        <is>
          <t>EV-3f55710594</t>
        </is>
      </c>
      <c r="B238" s="17" t="inlineStr">
        <is>
          <t>strategic_analysis</t>
        </is>
      </c>
      <c r="C238" s="17" t="inlineStr">
        <is>
          <t>r1</t>
        </is>
      </c>
      <c r="D238" s="18" t="inlineStr">
        <is>
          <t>As pecas editoriais estao com chamada, destino e brinde por preencher, e a agenda mestra esta vazia.</t>
        </is>
      </c>
      <c r="E238" s="17" t="inlineStr">
        <is>
          <t>SA-13</t>
        </is>
      </c>
      <c r="F238" s="17" t="inlineStr">
        <is>
          <t>execution_gap</t>
        </is>
      </c>
      <c r="G238" s="17" t="inlineStr">
        <is>
          <t>ECO-02</t>
        </is>
      </c>
      <c r="H238" s="17" t="inlineStr">
        <is>
          <t>DOC-C10-011</t>
        </is>
      </c>
      <c r="I238" s="18" t="inlineStr">
        <is>
          <t>DOC-C10-008: 'chamada principal: [PREENCHER] - destino: [PREENCHER] - brinde: [PREENCHER ou NAO SE APLICA]'; DOC-C14-007: todas as linhas da agenda mestra com Data 'preencher' e Estado 'planejar'.</t>
        </is>
      </c>
      <c r="J238" s="17" t="inlineStr">
        <is>
          <t>strong</t>
        </is>
      </c>
      <c r="K238" s="17" t="inlineStr">
        <is>
          <t>0.9</t>
        </is>
      </c>
      <c r="L238" s="17" t="inlineStr">
        <is>
          <t>fact</t>
        </is>
      </c>
    </row>
    <row r="239">
      <c r="A239" s="17" t="inlineStr">
        <is>
          <t>EV-8cc4e13706</t>
        </is>
      </c>
      <c r="B239" s="17" t="inlineStr">
        <is>
          <t>strategic_analysis</t>
        </is>
      </c>
      <c r="C239" s="17" t="inlineStr">
        <is>
          <t>r1</t>
        </is>
      </c>
      <c r="D239" s="18" t="inlineStr">
        <is>
          <t>O brinde canonico ainda e uma decisao pendente, e ele e dependencia de tres pecas editoriais.</t>
        </is>
      </c>
      <c r="E239" s="17" t="inlineStr">
        <is>
          <t>SA-13</t>
        </is>
      </c>
      <c r="F239" s="17" t="inlineStr">
        <is>
          <t>gift_dependency</t>
        </is>
      </c>
      <c r="G239" s="17" t="inlineStr">
        <is>
          <t>ECO-01</t>
        </is>
      </c>
      <c r="H239" s="17" t="inlineStr">
        <is>
          <t>DOC-C10-029</t>
        </is>
      </c>
      <c r="I239" s="18" t="inlineStr">
        <is>
          <t>DOC-C10-029: 'Decisao pendente - Definir um unico brinde reutilizavel no lancamento'; DOC-C06-001: 'GIFT-001 e uma cadeia propria: asset -&gt; capa -&gt; landing -&gt; formulario -&gt; confirmacao -&gt; entrega/download -&gt; CTA -&gt; tracking -&gt; evidence. Se o artigo depende do GIFT-001, ele nao esta DONE enquanto essa cadeia nao funcionar'.</t>
        </is>
      </c>
      <c r="J239" s="17" t="inlineStr">
        <is>
          <t>strong</t>
        </is>
      </c>
      <c r="K239" s="17" t="inlineStr">
        <is>
          <t>0.9</t>
        </is>
      </c>
      <c r="L239" s="17" t="inlineStr">
        <is>
          <t>fact</t>
        </is>
      </c>
    </row>
    <row r="240">
      <c r="A240" s="17" t="inlineStr">
        <is>
          <t>EV-13bd4aee96</t>
        </is>
      </c>
      <c r="B240" s="17" t="inlineStr">
        <is>
          <t>strategic_analysis</t>
        </is>
      </c>
      <c r="C240" s="17" t="inlineStr">
        <is>
          <t>r1</t>
        </is>
      </c>
      <c r="D240" s="18" t="inlineStr">
        <is>
          <t>O brinde canonico ainda e uma decisao pendente, e ele e dependencia de tres pecas editoriais.</t>
        </is>
      </c>
      <c r="E240" s="17" t="inlineStr">
        <is>
          <t>SA-13</t>
        </is>
      </c>
      <c r="F240" s="17" t="inlineStr">
        <is>
          <t>gift_dependency</t>
        </is>
      </c>
      <c r="G240" s="17" t="inlineStr">
        <is>
          <t>ECO-01</t>
        </is>
      </c>
      <c r="H240" s="17" t="inlineStr">
        <is>
          <t>DOC-C06-001</t>
        </is>
      </c>
      <c r="I240" s="18" t="inlineStr">
        <is>
          <t>DOC-C10-029: 'Decisao pendente - Definir um unico brinde reutilizavel no lancamento'; DOC-C06-001: 'GIFT-001 e uma cadeia propria: asset -&gt; capa -&gt; landing -&gt; formulario -&gt; confirmacao -&gt; entrega/download -&gt; CTA -&gt; tracking -&gt; evidence. Se o artigo depende do GIFT-001, ele nao esta DONE enquanto essa cadeia nao funcionar'.</t>
        </is>
      </c>
      <c r="J240" s="17" t="inlineStr">
        <is>
          <t>strong</t>
        </is>
      </c>
      <c r="K240" s="17" t="inlineStr">
        <is>
          <t>0.9</t>
        </is>
      </c>
      <c r="L240" s="17" t="inlineStr">
        <is>
          <t>fact</t>
        </is>
      </c>
    </row>
    <row r="241">
      <c r="A241" s="17" t="inlineStr">
        <is>
          <t>EV-2f5d0fb2cb</t>
        </is>
      </c>
      <c r="B241" s="17" t="inlineStr">
        <is>
          <t>strategic_analysis</t>
        </is>
      </c>
      <c r="C241" s="17" t="inlineStr">
        <is>
          <t>r1</t>
        </is>
      </c>
      <c r="D241" s="18" t="inlineStr">
        <is>
          <t>O brinde canonico ainda e uma decisao pendente, e ele e dependencia de tres pecas editoriais.</t>
        </is>
      </c>
      <c r="E241" s="17" t="inlineStr">
        <is>
          <t>SA-13</t>
        </is>
      </c>
      <c r="F241" s="17" t="inlineStr">
        <is>
          <t>gift_dependency</t>
        </is>
      </c>
      <c r="G241" s="17" t="inlineStr">
        <is>
          <t>ECO-01</t>
        </is>
      </c>
      <c r="H241" s="17" t="inlineStr">
        <is>
          <t>DOC-C10-011</t>
        </is>
      </c>
      <c r="I241" s="18" t="inlineStr">
        <is>
          <t>DOC-C10-029: 'Decisao pendente - Definir um unico brinde reutilizavel no lancamento'; DOC-C06-001: 'GIFT-001 e uma cadeia propria: asset -&gt; capa -&gt; landing -&gt; formulario -&gt; confirmacao -&gt; entrega/download -&gt; CTA -&gt; tracking -&gt; evidence. Se o artigo depende do GIFT-001, ele nao esta DONE enquanto essa cadeia nao funcionar'.</t>
        </is>
      </c>
      <c r="J241" s="17" t="inlineStr">
        <is>
          <t>strong</t>
        </is>
      </c>
      <c r="K241" s="17" t="inlineStr">
        <is>
          <t>0.9</t>
        </is>
      </c>
      <c r="L241" s="17" t="inlineStr">
        <is>
          <t>fact</t>
        </is>
      </c>
    </row>
    <row r="242">
      <c r="A242" s="17" t="inlineStr">
        <is>
          <t>EV-c2fa6c5212</t>
        </is>
      </c>
      <c r="B242" s="17" t="inlineStr">
        <is>
          <t>strategic_analysis</t>
        </is>
      </c>
      <c r="C242" s="17" t="inlineStr">
        <is>
          <t>r1</t>
        </is>
      </c>
      <c r="D242" s="18" t="inlineStr">
        <is>
          <t>O brinde canonico ainda e uma decisao pendente, e ele e dependencia de tres pecas editoriais.</t>
        </is>
      </c>
      <c r="E242" s="17" t="inlineStr">
        <is>
          <t>SA-13</t>
        </is>
      </c>
      <c r="F242" s="17" t="inlineStr">
        <is>
          <t>gift_dependency</t>
        </is>
      </c>
      <c r="G242" s="17" t="inlineStr">
        <is>
          <t>ECO-01</t>
        </is>
      </c>
      <c r="H242" s="17" t="inlineStr">
        <is>
          <t>DOC-C10-019</t>
        </is>
      </c>
      <c r="I242" s="18" t="inlineStr">
        <is>
          <t>DOC-C10-029: 'Decisao pendente - Definir um unico brinde reutilizavel no lancamento'; DOC-C06-001: 'GIFT-001 e uma cadeia propria: asset -&gt; capa -&gt; landing -&gt; formulario -&gt; confirmacao -&gt; entrega/download -&gt; CTA -&gt; tracking -&gt; evidence. Se o artigo depende do GIFT-001, ele nao esta DONE enquanto essa cadeia nao funcionar'.</t>
        </is>
      </c>
      <c r="J242" s="17" t="inlineStr">
        <is>
          <t>strong</t>
        </is>
      </c>
      <c r="K242" s="17" t="inlineStr">
        <is>
          <t>0.9</t>
        </is>
      </c>
      <c r="L242" s="17" t="inlineStr">
        <is>
          <t>fact</t>
        </is>
      </c>
    </row>
    <row r="243">
      <c r="A243" s="17" t="inlineStr">
        <is>
          <t>EV-85b7b120cd</t>
        </is>
      </c>
      <c r="B243" s="17" t="inlineStr">
        <is>
          <t>strategic_analysis</t>
        </is>
      </c>
      <c r="C243" s="17" t="inlineStr">
        <is>
          <t>r1</t>
        </is>
      </c>
      <c r="D243" s="18" t="inlineStr">
        <is>
          <t>O brinde canonico ainda e uma decisao pendente, e ele e dependencia de tres pecas editoriais.</t>
        </is>
      </c>
      <c r="E243" s="17" t="inlineStr">
        <is>
          <t>SA-13</t>
        </is>
      </c>
      <c r="F243" s="17" t="inlineStr">
        <is>
          <t>gift_dependency</t>
        </is>
      </c>
      <c r="G243" s="17" t="inlineStr">
        <is>
          <t>ECO-01</t>
        </is>
      </c>
      <c r="H243" s="17" t="inlineStr">
        <is>
          <t>DOC-C10-027</t>
        </is>
      </c>
      <c r="I243" s="18" t="inlineStr">
        <is>
          <t>DOC-C10-029: 'Decisao pendente - Definir um unico brinde reutilizavel no lancamento'; DOC-C06-001: 'GIFT-001 e uma cadeia propria: asset -&gt; capa -&gt; landing -&gt; formulario -&gt; confirmacao -&gt; entrega/download -&gt; CTA -&gt; tracking -&gt; evidence. Se o artigo depende do GIFT-001, ele nao esta DONE enquanto essa cadeia nao funcionar'.</t>
        </is>
      </c>
      <c r="J243" s="17" t="inlineStr">
        <is>
          <t>strong</t>
        </is>
      </c>
      <c r="K243" s="17" t="inlineStr">
        <is>
          <t>0.9</t>
        </is>
      </c>
      <c r="L243" s="17" t="inlineStr">
        <is>
          <t>fact</t>
        </is>
      </c>
    </row>
    <row r="244">
      <c r="A244" s="17" t="inlineStr">
        <is>
          <t>EV-750f6947f2</t>
        </is>
      </c>
      <c r="B244" s="17" t="inlineStr">
        <is>
          <t>strategic_analysis</t>
        </is>
      </c>
      <c r="C244" s="17" t="inlineStr">
        <is>
          <t>r1</t>
        </is>
      </c>
      <c r="D244" s="18" t="inlineStr">
        <is>
          <t>O plano de medicao de lancamento cobre a cadeia de conversao, mas nao define metas.</t>
        </is>
      </c>
      <c r="E244" s="17" t="inlineStr">
        <is>
          <t>SA-13</t>
        </is>
      </c>
      <c r="F244" s="17" t="inlineStr">
        <is>
          <t>measurement</t>
        </is>
      </c>
      <c r="G244" s="17" t="inlineStr">
        <is>
          <t>ECO-01</t>
        </is>
      </c>
      <c r="H244" s="17" t="inlineStr">
        <is>
          <t>DOC-C16-003</t>
        </is>
      </c>
      <c r="I244" s="18" t="inlineStr">
        <is>
          <t>DOC-C16-003 verifica 'chamada -&gt; destino; formulario -&gt; recebimento; pagamento/cadastro -&gt; confirmacao; download -&gt; arquivo; afiliado -&gt; ligacao identificada; principais eventos de acesso/conversao', sem numero-alvo em nenhum item.</t>
        </is>
      </c>
      <c r="J244" s="17" t="inlineStr">
        <is>
          <t>moderate</t>
        </is>
      </c>
      <c r="K244" s="17" t="inlineStr">
        <is>
          <t>0.8</t>
        </is>
      </c>
      <c r="L244" s="17" t="inlineStr">
        <is>
          <t>fact</t>
        </is>
      </c>
    </row>
    <row r="245">
      <c r="A245" s="17" t="inlineStr">
        <is>
          <t>EV-3a7747f3cd</t>
        </is>
      </c>
      <c r="B245" s="17" t="inlineStr">
        <is>
          <t>strategic_analysis</t>
        </is>
      </c>
      <c r="C245" s="17" t="inlineStr">
        <is>
          <t>r1</t>
        </is>
      </c>
      <c r="D245" s="18" t="inlineStr">
        <is>
          <t>O plano de medicao de lancamento cobre a cadeia de conversao, mas nao define metas.</t>
        </is>
      </c>
      <c r="E245" s="17" t="inlineStr">
        <is>
          <t>SA-13</t>
        </is>
      </c>
      <c r="F245" s="17" t="inlineStr">
        <is>
          <t>measurement</t>
        </is>
      </c>
      <c r="G245" s="17" t="inlineStr">
        <is>
          <t>ECO-01</t>
        </is>
      </c>
      <c r="H245" s="17" t="inlineStr">
        <is>
          <t>DOC-C14-007</t>
        </is>
      </c>
      <c r="I245" s="18" t="inlineStr">
        <is>
          <t>DOC-C16-003 verifica 'chamada -&gt; destino; formulario -&gt; recebimento; pagamento/cadastro -&gt; confirmacao; download -&gt; arquivo; afiliado -&gt; ligacao identificada; principais eventos de acesso/conversao', sem numero-alvo em nenhum item.</t>
        </is>
      </c>
      <c r="J245" s="17" t="inlineStr">
        <is>
          <t>moderate</t>
        </is>
      </c>
      <c r="K245" s="17" t="inlineStr">
        <is>
          <t>0.8</t>
        </is>
      </c>
      <c r="L245" s="17" t="inlineStr">
        <is>
          <t>fact</t>
        </is>
      </c>
    </row>
    <row r="246">
      <c r="A246" s="17" t="inlineStr">
        <is>
          <t>EV-9b4dfbeb03</t>
        </is>
      </c>
      <c r="B246" s="17" t="inlineStr">
        <is>
          <t>strategic_analysis</t>
        </is>
      </c>
      <c r="C246" s="17" t="inlineStr">
        <is>
          <t>r1</t>
        </is>
      </c>
      <c r="D246" s="18" t="inlineStr">
        <is>
          <t>O programa de afiliados exige cadastro e IDs por canal que ainda nao foram executados.</t>
        </is>
      </c>
      <c r="E246" s="17" t="inlineStr">
        <is>
          <t>SA-13</t>
        </is>
      </c>
      <c r="F246" s="17" t="inlineStr">
        <is>
          <t>attribution</t>
        </is>
      </c>
      <c r="G246" s="17" t="inlineStr">
        <is>
          <t>ECO-01</t>
        </is>
      </c>
      <c r="H246" s="17" t="inlineStr">
        <is>
          <t>DOC-C05-001</t>
        </is>
      </c>
      <c r="I246" s="18" t="inlineStr">
        <is>
          <t>DOC-C05-001: 'Pendencia operacional ja definida: AF-SETUP-001 - Cadastrar Amazon Associados + criar IDs de rastreamento + substituir links-base'; DOC-C08-003 lista 'Conteudo com afiliado' dependendo de 'cadastro de associado + ligacao identificada'.</t>
        </is>
      </c>
      <c r="J246" s="17" t="inlineStr">
        <is>
          <t>strong</t>
        </is>
      </c>
      <c r="K246" s="17" t="inlineStr">
        <is>
          <t>0.9</t>
        </is>
      </c>
      <c r="L246" s="17" t="inlineStr">
        <is>
          <t>fact</t>
        </is>
      </c>
    </row>
    <row r="247">
      <c r="A247" s="17" t="inlineStr">
        <is>
          <t>EV-2180d1aaa1</t>
        </is>
      </c>
      <c r="B247" s="17" t="inlineStr">
        <is>
          <t>strategic_analysis</t>
        </is>
      </c>
      <c r="C247" s="17" t="inlineStr">
        <is>
          <t>r1</t>
        </is>
      </c>
      <c r="D247" s="18" t="inlineStr">
        <is>
          <t>O programa de afiliados exige cadastro e IDs por canal que ainda nao foram executados.</t>
        </is>
      </c>
      <c r="E247" s="17" t="inlineStr">
        <is>
          <t>SA-13</t>
        </is>
      </c>
      <c r="F247" s="17" t="inlineStr">
        <is>
          <t>attribution</t>
        </is>
      </c>
      <c r="G247" s="17" t="inlineStr">
        <is>
          <t>ECO-01</t>
        </is>
      </c>
      <c r="H247" s="17" t="inlineStr">
        <is>
          <t>DOC-C08-003</t>
        </is>
      </c>
      <c r="I247" s="18" t="inlineStr">
        <is>
          <t>DOC-C05-001: 'Pendencia operacional ja definida: AF-SETUP-001 - Cadastrar Amazon Associados + criar IDs de rastreamento + substituir links-base'; DOC-C08-003 lista 'Conteudo com afiliado' dependendo de 'cadastro de associado + ligacao identificada'.</t>
        </is>
      </c>
      <c r="J247" s="17" t="inlineStr">
        <is>
          <t>strong</t>
        </is>
      </c>
      <c r="K247" s="17" t="inlineStr">
        <is>
          <t>0.9</t>
        </is>
      </c>
      <c r="L247" s="17" t="inlineStr">
        <is>
          <t>fact</t>
        </is>
      </c>
    </row>
    <row r="248">
      <c r="A248" s="17" t="inlineStr">
        <is>
          <t>EV-d1a2a1a844</t>
        </is>
      </c>
      <c r="B248" s="17" t="inlineStr">
        <is>
          <t>strategic_analysis</t>
        </is>
      </c>
      <c r="C248" s="17" t="inlineStr">
        <is>
          <t>r1</t>
        </is>
      </c>
      <c r="D248" s="18" t="inlineStr">
        <is>
          <t>O programa de afiliados exige cadastro e IDs por canal que ainda nao foram executados.</t>
        </is>
      </c>
      <c r="E248" s="17" t="inlineStr">
        <is>
          <t>SA-13</t>
        </is>
      </c>
      <c r="F248" s="17" t="inlineStr">
        <is>
          <t>attribution</t>
        </is>
      </c>
      <c r="G248" s="17" t="inlineStr">
        <is>
          <t>ECO-01</t>
        </is>
      </c>
      <c r="H248" s="17" t="inlineStr">
        <is>
          <t>DOC-C08-007</t>
        </is>
      </c>
      <c r="I248" s="18" t="inlineStr">
        <is>
          <t>DOC-C05-001: 'Pendencia operacional ja definida: AF-SETUP-001 - Cadastrar Amazon Associados + criar IDs de rastreamento + substituir links-base'; DOC-C08-003 lista 'Conteudo com afiliado' dependendo de 'cadastro de associado + ligacao identificada'.</t>
        </is>
      </c>
      <c r="J248" s="17" t="inlineStr">
        <is>
          <t>strong</t>
        </is>
      </c>
      <c r="K248" s="17" t="inlineStr">
        <is>
          <t>0.9</t>
        </is>
      </c>
      <c r="L248" s="17" t="inlineStr">
        <is>
          <t>fact</t>
        </is>
      </c>
    </row>
    <row r="249">
      <c r="A249" s="17" t="inlineStr">
        <is>
          <t>EV-c28d5ae320</t>
        </is>
      </c>
      <c r="B249" s="17" t="inlineStr">
        <is>
          <t>strategic_analysis</t>
        </is>
      </c>
      <c r="C249" s="17" t="inlineStr">
        <is>
          <t>r1</t>
        </is>
      </c>
      <c r="D249" s="18" t="inlineStr">
        <is>
          <t>O dia do lancamento tem escopo negativo explicito: nada de producao em 07/09.</t>
        </is>
      </c>
      <c r="E249" s="17" t="inlineStr">
        <is>
          <t>SA-13</t>
        </is>
      </c>
      <c r="F249" s="17" t="inlineStr">
        <is>
          <t>launch_day</t>
        </is>
      </c>
      <c r="G249" s="17" t="inlineStr">
        <is>
          <t>ECO-01</t>
        </is>
      </c>
      <c r="H249" s="17" t="inlineStr">
        <is>
          <t>DOC-C06-001</t>
        </is>
      </c>
      <c r="I249" s="18" t="inlineStr">
        <is>
          <t>DOC-C06-001: 'E: Ativar, Conferir, Observar, Responder, Registrar. Nao e: Editar landing, Terminar video, Produzir post, Cadastrar produto. Se isso estiver acontecendo em 07/09, o Freeze falhou'; DOC-C15-021 marca horas_planejadas 0.</t>
        </is>
      </c>
      <c r="J249" s="17" t="inlineStr">
        <is>
          <t>strong</t>
        </is>
      </c>
      <c r="K249" s="17" t="inlineStr">
        <is>
          <t>0.9</t>
        </is>
      </c>
      <c r="L249" s="17" t="inlineStr">
        <is>
          <t>fact</t>
        </is>
      </c>
    </row>
    <row r="250">
      <c r="A250" s="17" t="inlineStr">
        <is>
          <t>EV-babf7a9d21</t>
        </is>
      </c>
      <c r="B250" s="17" t="inlineStr">
        <is>
          <t>strategic_analysis</t>
        </is>
      </c>
      <c r="C250" s="17" t="inlineStr">
        <is>
          <t>r1</t>
        </is>
      </c>
      <c r="D250" s="18" t="inlineStr">
        <is>
          <t>O dia do lancamento tem escopo negativo explicito: nada de producao em 07/09.</t>
        </is>
      </c>
      <c r="E250" s="17" t="inlineStr">
        <is>
          <t>SA-13</t>
        </is>
      </c>
      <c r="F250" s="17" t="inlineStr">
        <is>
          <t>launch_day</t>
        </is>
      </c>
      <c r="G250" s="17" t="inlineStr">
        <is>
          <t>ECO-01</t>
        </is>
      </c>
      <c r="H250" s="17" t="inlineStr">
        <is>
          <t>DOC-C15-021</t>
        </is>
      </c>
      <c r="I250" s="18" t="inlineStr">
        <is>
          <t>DOC-C06-001: 'E: Ativar, Conferir, Observar, Responder, Registrar. Nao e: Editar landing, Terminar video, Produzir post, Cadastrar produto. Se isso estiver acontecendo em 07/09, o Freeze falhou'; DOC-C15-021 marca horas_planejadas 0.</t>
        </is>
      </c>
      <c r="J250" s="17" t="inlineStr">
        <is>
          <t>strong</t>
        </is>
      </c>
      <c r="K250" s="17" t="inlineStr">
        <is>
          <t>0.9</t>
        </is>
      </c>
      <c r="L250" s="17" t="inlineStr">
        <is>
          <t>fact</t>
        </is>
      </c>
    </row>
    <row r="251">
      <c r="A251" s="17" t="inlineStr">
        <is>
          <t>EV-24b7517dc6</t>
        </is>
      </c>
      <c r="B251" s="17" t="inlineStr">
        <is>
          <t>strategic_analysis</t>
        </is>
      </c>
      <c r="C251" s="17" t="inlineStr">
        <is>
          <t>r1</t>
        </is>
      </c>
      <c r="D251" s="18" t="inlineStr">
        <is>
          <t>Nao ha plano de go-to-market para o framework como produto intelectual, apenas uma escada de maturidade.</t>
        </is>
      </c>
      <c r="E251" s="17" t="inlineStr">
        <is>
          <t>SA-13</t>
        </is>
      </c>
      <c r="F251" s="17" t="inlineStr">
        <is>
          <t>gtm</t>
        </is>
      </c>
      <c r="G251" s="17" t="inlineStr">
        <is>
          <t>ECO-03</t>
        </is>
      </c>
      <c r="H251" s="17" t="inlineStr">
        <is>
          <t>DOC-C02-031</t>
        </is>
      </c>
      <c r="I251" s="18" t="inlineStr">
        <is>
          <t>DOC-C02-031 (ordem estrategica) e DOC-C02-015 (pipeline de validacao) definem etapas de pesquisa, mas nenhum documento define publico academico-alvo, veiculo, evento ou cronograma de publicacao do white paper.</t>
        </is>
      </c>
      <c r="J251" s="17" t="inlineStr">
        <is>
          <t>none</t>
        </is>
      </c>
      <c r="K251" s="17" t="inlineStr">
        <is>
          <t>0.8</t>
        </is>
      </c>
      <c r="L251" s="17" t="inlineStr">
        <is>
          <t>gap</t>
        </is>
      </c>
    </row>
    <row r="252">
      <c r="A252" s="17" t="inlineStr">
        <is>
          <t>EV-b6cc37aa22</t>
        </is>
      </c>
      <c r="B252" s="17" t="inlineStr">
        <is>
          <t>strategic_analysis</t>
        </is>
      </c>
      <c r="C252" s="17" t="inlineStr">
        <is>
          <t>r1</t>
        </is>
      </c>
      <c r="D252" s="18" t="inlineStr">
        <is>
          <t>Nao ha plano de go-to-market para o framework como produto intelectual, apenas uma escada de maturidade.</t>
        </is>
      </c>
      <c r="E252" s="17" t="inlineStr">
        <is>
          <t>SA-13</t>
        </is>
      </c>
      <c r="F252" s="17" t="inlineStr">
        <is>
          <t>gtm</t>
        </is>
      </c>
      <c r="G252" s="17" t="inlineStr">
        <is>
          <t>ECO-03</t>
        </is>
      </c>
      <c r="H252" s="17" t="inlineStr">
        <is>
          <t>DOC-C02-015</t>
        </is>
      </c>
      <c r="I252" s="18" t="inlineStr">
        <is>
          <t>DOC-C02-031 (ordem estrategica) e DOC-C02-015 (pipeline de validacao) definem etapas de pesquisa, mas nenhum documento define publico academico-alvo, veiculo, evento ou cronograma de publicacao do white paper.</t>
        </is>
      </c>
      <c r="J252" s="17" t="inlineStr">
        <is>
          <t>none</t>
        </is>
      </c>
      <c r="K252" s="17" t="inlineStr">
        <is>
          <t>0.8</t>
        </is>
      </c>
      <c r="L252" s="17" t="inlineStr">
        <is>
          <t>gap</t>
        </is>
      </c>
    </row>
    <row r="253">
      <c r="A253" s="17" t="inlineStr">
        <is>
          <t>EV-76ef63fa93</t>
        </is>
      </c>
      <c r="B253" s="17" t="inlineStr">
        <is>
          <t>strategic_analysis</t>
        </is>
      </c>
      <c r="C253" s="17" t="inlineStr">
        <is>
          <t>r1</t>
        </is>
      </c>
      <c r="D253" s="18" t="inlineStr">
        <is>
          <t>Nao ha plano de go-to-market para o framework como produto intelectual, apenas uma escada de maturidade.</t>
        </is>
      </c>
      <c r="E253" s="17" t="inlineStr">
        <is>
          <t>SA-13</t>
        </is>
      </c>
      <c r="F253" s="17" t="inlineStr">
        <is>
          <t>gtm</t>
        </is>
      </c>
      <c r="G253" s="17" t="inlineStr">
        <is>
          <t>ECO-03</t>
        </is>
      </c>
      <c r="H253" s="17" t="inlineStr">
        <is>
          <t>DOC-C02-016</t>
        </is>
      </c>
      <c r="I253" s="18" t="inlineStr">
        <is>
          <t>DOC-C02-031 (ordem estrategica) e DOC-C02-015 (pipeline de validacao) definem etapas de pesquisa, mas nenhum documento define publico academico-alvo, veiculo, evento ou cronograma de publicacao do white paper.</t>
        </is>
      </c>
      <c r="J253" s="17" t="inlineStr">
        <is>
          <t>none</t>
        </is>
      </c>
      <c r="K253" s="17" t="inlineStr">
        <is>
          <t>0.8</t>
        </is>
      </c>
      <c r="L253" s="17" t="inlineStr">
        <is>
          <t>gap</t>
        </is>
      </c>
    </row>
    <row r="254">
      <c r="A254" s="17" t="inlineStr">
        <is>
          <t>EV-412bf8176f</t>
        </is>
      </c>
      <c r="B254" s="17" t="inlineStr">
        <is>
          <t>strategic_analysis</t>
        </is>
      </c>
      <c r="C254" s="17" t="inlineStr">
        <is>
          <t>r1</t>
        </is>
      </c>
      <c r="D254" s="18" t="inlineStr">
        <is>
          <t>O GTM do servico se resume a uma pagina, um formulario e uma chamada CH-006 ainda nao funcional.</t>
        </is>
      </c>
      <c r="E254" s="17" t="inlineStr">
        <is>
          <t>SA-13</t>
        </is>
      </c>
      <c r="F254" s="17" t="inlineStr">
        <is>
          <t>gtm</t>
        </is>
      </c>
      <c r="G254" s="17" t="inlineStr">
        <is>
          <t>ECO-07</t>
        </is>
      </c>
      <c r="H254" s="17" t="inlineStr">
        <is>
          <t>DOC-C12-006</t>
        </is>
      </c>
      <c r="I254" s="18" t="inlineStr">
        <is>
          <t>DOC-C12-006 e DOC-C12-007 tem situacao 'verificar' e chamada principal CH-006; DOC-C09-006 lista 'chamada CH-006 funcionando' como pendencia; DOC-C12-003 define o formulario mas com situacao 'configurar'.</t>
        </is>
      </c>
      <c r="J254" s="17" t="inlineStr">
        <is>
          <t>strong</t>
        </is>
      </c>
      <c r="K254" s="17" t="inlineStr">
        <is>
          <t>0.85</t>
        </is>
      </c>
      <c r="L254" s="17" t="inlineStr">
        <is>
          <t>fact</t>
        </is>
      </c>
    </row>
    <row r="255">
      <c r="A255" s="17" t="inlineStr">
        <is>
          <t>EV-92e37274c7</t>
        </is>
      </c>
      <c r="B255" s="17" t="inlineStr">
        <is>
          <t>strategic_analysis</t>
        </is>
      </c>
      <c r="C255" s="17" t="inlineStr">
        <is>
          <t>r1</t>
        </is>
      </c>
      <c r="D255" s="18" t="inlineStr">
        <is>
          <t>O GTM do servico se resume a uma pagina, um formulario e uma chamada CH-006 ainda nao funcional.</t>
        </is>
      </c>
      <c r="E255" s="17" t="inlineStr">
        <is>
          <t>SA-13</t>
        </is>
      </c>
      <c r="F255" s="17" t="inlineStr">
        <is>
          <t>gtm</t>
        </is>
      </c>
      <c r="G255" s="17" t="inlineStr">
        <is>
          <t>ECO-07</t>
        </is>
      </c>
      <c r="H255" s="17" t="inlineStr">
        <is>
          <t>DOC-C12-007</t>
        </is>
      </c>
      <c r="I255" s="18" t="inlineStr">
        <is>
          <t>DOC-C12-006 e DOC-C12-007 tem situacao 'verificar' e chamada principal CH-006; DOC-C09-006 lista 'chamada CH-006 funcionando' como pendencia; DOC-C12-003 define o formulario mas com situacao 'configurar'.</t>
        </is>
      </c>
      <c r="J255" s="17" t="inlineStr">
        <is>
          <t>strong</t>
        </is>
      </c>
      <c r="K255" s="17" t="inlineStr">
        <is>
          <t>0.85</t>
        </is>
      </c>
      <c r="L255" s="17" t="inlineStr">
        <is>
          <t>fact</t>
        </is>
      </c>
    </row>
    <row r="256">
      <c r="A256" s="17" t="inlineStr">
        <is>
          <t>EV-d5bbf13997</t>
        </is>
      </c>
      <c r="B256" s="17" t="inlineStr">
        <is>
          <t>strategic_analysis</t>
        </is>
      </c>
      <c r="C256" s="17" t="inlineStr">
        <is>
          <t>r1</t>
        </is>
      </c>
      <c r="D256" s="18" t="inlineStr">
        <is>
          <t>O GTM do servico se resume a uma pagina, um formulario e uma chamada CH-006 ainda nao funcional.</t>
        </is>
      </c>
      <c r="E256" s="17" t="inlineStr">
        <is>
          <t>SA-13</t>
        </is>
      </c>
      <c r="F256" s="17" t="inlineStr">
        <is>
          <t>gtm</t>
        </is>
      </c>
      <c r="G256" s="17" t="inlineStr">
        <is>
          <t>ECO-07</t>
        </is>
      </c>
      <c r="H256" s="17" t="inlineStr">
        <is>
          <t>DOC-C12-003</t>
        </is>
      </c>
      <c r="I256" s="18" t="inlineStr">
        <is>
          <t>DOC-C12-006 e DOC-C12-007 tem situacao 'verificar' e chamada principal CH-006; DOC-C09-006 lista 'chamada CH-006 funcionando' como pendencia; DOC-C12-003 define o formulario mas com situacao 'configurar'.</t>
        </is>
      </c>
      <c r="J256" s="17" t="inlineStr">
        <is>
          <t>strong</t>
        </is>
      </c>
      <c r="K256" s="17" t="inlineStr">
        <is>
          <t>0.85</t>
        </is>
      </c>
      <c r="L256" s="17" t="inlineStr">
        <is>
          <t>fact</t>
        </is>
      </c>
    </row>
    <row r="257">
      <c r="A257" s="17" t="inlineStr">
        <is>
          <t>EV-bb044b1679</t>
        </is>
      </c>
      <c r="B257" s="17" t="inlineStr">
        <is>
          <t>strategic_analysis</t>
        </is>
      </c>
      <c r="C257" s="17" t="inlineStr">
        <is>
          <t>r1</t>
        </is>
      </c>
      <c r="D257" s="18" t="inlineStr">
        <is>
          <t>O GTM do servico se resume a uma pagina, um formulario e uma chamada CH-006 ainda nao funcional.</t>
        </is>
      </c>
      <c r="E257" s="17" t="inlineStr">
        <is>
          <t>SA-13</t>
        </is>
      </c>
      <c r="F257" s="17" t="inlineStr">
        <is>
          <t>gtm</t>
        </is>
      </c>
      <c r="G257" s="17" t="inlineStr">
        <is>
          <t>ECO-07</t>
        </is>
      </c>
      <c r="H257" s="17" t="inlineStr">
        <is>
          <t>DOC-C09-006</t>
        </is>
      </c>
      <c r="I257" s="18" t="inlineStr">
        <is>
          <t>DOC-C12-006 e DOC-C12-007 tem situacao 'verificar' e chamada principal CH-006; DOC-C09-006 lista 'chamada CH-006 funcionando' como pendencia; DOC-C12-003 define o formulario mas com situacao 'configurar'.</t>
        </is>
      </c>
      <c r="J257" s="17" t="inlineStr">
        <is>
          <t>strong</t>
        </is>
      </c>
      <c r="K257" s="17" t="inlineStr">
        <is>
          <t>0.85</t>
        </is>
      </c>
      <c r="L257" s="17" t="inlineStr">
        <is>
          <t>fact</t>
        </is>
      </c>
    </row>
    <row r="258">
      <c r="A258" s="17" t="inlineStr">
        <is>
          <t>EV-864c677b05</t>
        </is>
      </c>
      <c r="B258" s="17" t="inlineStr">
        <is>
          <t>strategic_analysis</t>
        </is>
      </c>
      <c r="C258" s="17" t="inlineStr">
        <is>
          <t>r1</t>
        </is>
      </c>
      <c r="D258" s="18" t="inlineStr">
        <is>
          <t>A arquitetura de marca separa a publicacao (ativo) do autor (assinatura), decisao explicita e datada.</t>
        </is>
      </c>
      <c r="E258" s="17" t="inlineStr">
        <is>
          <t>SA-08B</t>
        </is>
      </c>
      <c r="F258" s="17" t="inlineStr">
        <is>
          <t>company</t>
        </is>
      </c>
      <c r="G258" s="17" t="inlineStr">
        <is>
          <t>ECO-02</t>
        </is>
      </c>
      <c r="H258" s="17" t="inlineStr">
        <is>
          <t>DOC-C01-006</t>
        </is>
      </c>
      <c r="I258" s="18" t="inlineStr">
        <is>
          <t>DOC-C01-006: 'Risco Cognitivo -&gt; e a marca editorial; riscocognitivo.org -&gt; e a publicacao/site; @riscocognitivo -&gt; sao os canais da publicacao'; 'Eu evitaria chamar a pagina de Leonardo Batista | Risco Cognitivo no inicio... Risco Cognitivo deve ser o ativo de marca'.</t>
        </is>
      </c>
      <c r="J258" s="17" t="inlineStr">
        <is>
          <t>strong</t>
        </is>
      </c>
      <c r="K258" s="17" t="inlineStr">
        <is>
          <t>0.9</t>
        </is>
      </c>
      <c r="L258" s="17" t="inlineStr">
        <is>
          <t>fact</t>
        </is>
      </c>
    </row>
    <row r="259">
      <c r="A259" s="17" t="inlineStr">
        <is>
          <t>EV-c870c66d0d</t>
        </is>
      </c>
      <c r="B259" s="17" t="inlineStr">
        <is>
          <t>strategic_analysis</t>
        </is>
      </c>
      <c r="C259" s="17" t="inlineStr">
        <is>
          <t>r1</t>
        </is>
      </c>
      <c r="D259" s="18" t="inlineStr">
        <is>
          <t>A arquitetura de marca separa a publicacao (ativo) do autor (assinatura), decisao explicita e datada.</t>
        </is>
      </c>
      <c r="E259" s="17" t="inlineStr">
        <is>
          <t>SA-08B</t>
        </is>
      </c>
      <c r="F259" s="17" t="inlineStr">
        <is>
          <t>company</t>
        </is>
      </c>
      <c r="G259" s="17" t="inlineStr">
        <is>
          <t>ECO-02</t>
        </is>
      </c>
      <c r="H259" s="17" t="inlineStr">
        <is>
          <t>DOC-C02-043</t>
        </is>
      </c>
      <c r="I259" s="18" t="inlineStr">
        <is>
          <t>DOC-C01-006: 'Risco Cognitivo -&gt; e a marca editorial; riscocognitivo.org -&gt; e a publicacao/site; @riscocognitivo -&gt; sao os canais da publicacao'; 'Eu evitaria chamar a pagina de Leonardo Batista | Risco Cognitivo no inicio... Risco Cognitivo deve ser o ativo de marca'.</t>
        </is>
      </c>
      <c r="J259" s="17" t="inlineStr">
        <is>
          <t>strong</t>
        </is>
      </c>
      <c r="K259" s="17" t="inlineStr">
        <is>
          <t>0.9</t>
        </is>
      </c>
      <c r="L259" s="17" t="inlineStr">
        <is>
          <t>fact</t>
        </is>
      </c>
    </row>
    <row r="260">
      <c r="A260" s="17" t="inlineStr">
        <is>
          <t>EV-f42f8c7e30</t>
        </is>
      </c>
      <c r="B260" s="17" t="inlineStr">
        <is>
          <t>strategic_analysis</t>
        </is>
      </c>
      <c r="C260" s="17" t="inlineStr">
        <is>
          <t>r1</t>
        </is>
      </c>
      <c r="D260" s="18" t="inlineStr">
        <is>
          <t>O acervo ja possui benchmark competitivo explicito por ferramenta e por eficacia, ainda que com forca de evidencia desigual.</t>
        </is>
      </c>
      <c r="E260" s="17" t="inlineStr">
        <is>
          <t>SA-08C</t>
        </is>
      </c>
      <c r="F260" s="17" t="inlineStr">
        <is>
          <t>competitor</t>
        </is>
      </c>
      <c r="G260" s="17" t="inlineStr">
        <is>
          <t>ECO-01</t>
        </is>
      </c>
      <c r="H260" s="17" t="inlineStr">
        <is>
          <t>DOC-C07-007</t>
        </is>
      </c>
      <c r="I260" s="18" t="inlineStr">
        <is>
          <t>Ferramentas: QT-000172 (Notion 30% dificil de configurar), QL-000053 (Trello sem estrutura nativa), QL-000054 (Todoist limitado para iniciar). Eficacia: QT-000177 (Inflow, estudo aberto), QT-000178/179 (videogame terapeutico aprovado, STARS-ADHD-Adult).</t>
        </is>
      </c>
      <c r="J260" s="17" t="inlineStr">
        <is>
          <t>moderate</t>
        </is>
      </c>
      <c r="K260" s="17" t="inlineStr">
        <is>
          <t>0.75</t>
        </is>
      </c>
      <c r="L260" s="17" t="inlineStr">
        <is>
          <t>fact</t>
        </is>
      </c>
    </row>
    <row r="261">
      <c r="A261" s="17" t="inlineStr">
        <is>
          <t>EV-3a8c47a98b</t>
        </is>
      </c>
      <c r="B261" s="17" t="inlineStr">
        <is>
          <t>strategic_analysis</t>
        </is>
      </c>
      <c r="C261" s="17" t="inlineStr">
        <is>
          <t>r1</t>
        </is>
      </c>
      <c r="D261" s="18" t="inlineStr">
        <is>
          <t>O acervo ja possui benchmark competitivo explicito por ferramenta e por eficacia, ainda que com forca de evidencia desigual.</t>
        </is>
      </c>
      <c r="E261" s="17" t="inlineStr">
        <is>
          <t>SA-08C</t>
        </is>
      </c>
      <c r="F261" s="17" t="inlineStr">
        <is>
          <t>competitor</t>
        </is>
      </c>
      <c r="G261" s="17" t="inlineStr">
        <is>
          <t>ECO-01</t>
        </is>
      </c>
      <c r="H261" s="17" t="inlineStr">
        <is>
          <t>DOC-C07-009</t>
        </is>
      </c>
      <c r="I261" s="18" t="inlineStr">
        <is>
          <t>Ferramentas: QT-000172 (Notion 30% dificil de configurar), QL-000053 (Trello sem estrutura nativa), QL-000054 (Todoist limitado para iniciar). Eficacia: QT-000177 (Inflow, estudo aberto), QT-000178/179 (videogame terapeutico aprovado, STARS-ADHD-Adult).</t>
        </is>
      </c>
      <c r="J261" s="17" t="inlineStr">
        <is>
          <t>moderate</t>
        </is>
      </c>
      <c r="K261" s="17" t="inlineStr">
        <is>
          <t>0.75</t>
        </is>
      </c>
      <c r="L261" s="17" t="inlineStr">
        <is>
          <t>fact</t>
        </is>
      </c>
    </row>
    <row r="262">
      <c r="A262" s="17" t="inlineStr">
        <is>
          <t>EV-b5b513261b</t>
        </is>
      </c>
      <c r="B262" s="17" t="inlineStr">
        <is>
          <t>strategic_analysis</t>
        </is>
      </c>
      <c r="C262" s="17" t="inlineStr">
        <is>
          <t>r1</t>
        </is>
      </c>
      <c r="D262" s="18" t="inlineStr">
        <is>
          <t>O leitor-alvo do editorial e definido pelo reconhecimento do problema, nao pelo interesse em produtividade.</t>
        </is>
      </c>
      <c r="E262" s="17" t="inlineStr">
        <is>
          <t>SA-08A</t>
        </is>
      </c>
      <c r="F262" s="17" t="inlineStr">
        <is>
          <t>customer</t>
        </is>
      </c>
      <c r="G262" s="17" t="inlineStr">
        <is>
          <t>ECO-02</t>
        </is>
      </c>
      <c r="H262" s="17" t="inlineStr">
        <is>
          <t>DOC-C01-005</t>
        </is>
      </c>
      <c r="I262" s="18" t="inlineStr">
        <is>
          <t>DOC-C01-005 troca a pergunta editorial de 'Como ser mais produtivo sendo neurodivergente?' por 'O que pode dar errado entre aquilo que voce pretende fazer e aquilo que efetivamente consegue realizar - e como reduzir esse risco?'.</t>
        </is>
      </c>
      <c r="J262" s="17" t="inlineStr">
        <is>
          <t>strong</t>
        </is>
      </c>
      <c r="K262" s="17" t="inlineStr">
        <is>
          <t>0.85</t>
        </is>
      </c>
      <c r="L262" s="17" t="inlineStr">
        <is>
          <t>fact</t>
        </is>
      </c>
    </row>
    <row r="263">
      <c r="A263" s="17" t="inlineStr">
        <is>
          <t>EV-a747d7ec01</t>
        </is>
      </c>
      <c r="B263" s="17" t="inlineStr">
        <is>
          <t>strategic_analysis</t>
        </is>
      </c>
      <c r="C263" s="17" t="inlineStr">
        <is>
          <t>r1</t>
        </is>
      </c>
      <c r="D263" s="18" t="inlineStr">
        <is>
          <t>O leitor-alvo do editorial e definido pelo reconhecimento do problema, nao pelo interesse em produtividade.</t>
        </is>
      </c>
      <c r="E263" s="17" t="inlineStr">
        <is>
          <t>SA-08A</t>
        </is>
      </c>
      <c r="F263" s="17" t="inlineStr">
        <is>
          <t>customer</t>
        </is>
      </c>
      <c r="G263" s="17" t="inlineStr">
        <is>
          <t>ECO-02</t>
        </is>
      </c>
      <c r="H263" s="17" t="inlineStr">
        <is>
          <t>DOC-C03-002</t>
        </is>
      </c>
      <c r="I263" s="18" t="inlineStr">
        <is>
          <t>DOC-C01-005 troca a pergunta editorial de 'Como ser mais produtivo sendo neurodivergente?' por 'O que pode dar errado entre aquilo que voce pretende fazer e aquilo que efetivamente consegue realizar - e como reduzir esse risco?'.</t>
        </is>
      </c>
      <c r="J263" s="17" t="inlineStr">
        <is>
          <t>strong</t>
        </is>
      </c>
      <c r="K263" s="17" t="inlineStr">
        <is>
          <t>0.85</t>
        </is>
      </c>
      <c r="L263" s="17" t="inlineStr">
        <is>
          <t>fact</t>
        </is>
      </c>
    </row>
    <row r="264">
      <c r="A264" s="17" t="inlineStr">
        <is>
          <t>EV-4b2c24d932</t>
        </is>
      </c>
      <c r="B264" s="17" t="inlineStr">
        <is>
          <t>strategic_analysis</t>
        </is>
      </c>
      <c r="C264" s="17" t="inlineStr">
        <is>
          <t>r1</t>
        </is>
      </c>
      <c r="D264" s="18" t="inlineStr">
        <is>
          <t>O leitor-alvo do editorial e definido pelo reconhecimento do problema, nao pelo interesse em produtividade.</t>
        </is>
      </c>
      <c r="E264" s="17" t="inlineStr">
        <is>
          <t>SA-08A</t>
        </is>
      </c>
      <c r="F264" s="17" t="inlineStr">
        <is>
          <t>customer</t>
        </is>
      </c>
      <c r="G264" s="17" t="inlineStr">
        <is>
          <t>ECO-02</t>
        </is>
      </c>
      <c r="H264" s="17" t="inlineStr">
        <is>
          <t>DOC-C02-043</t>
        </is>
      </c>
      <c r="I264" s="18" t="inlineStr">
        <is>
          <t>DOC-C01-005 troca a pergunta editorial de 'Como ser mais produtivo sendo neurodivergente?' por 'O que pode dar errado entre aquilo que voce pretende fazer e aquilo que efetivamente consegue realizar - e como reduzir esse risco?'.</t>
        </is>
      </c>
      <c r="J264" s="17" t="inlineStr">
        <is>
          <t>strong</t>
        </is>
      </c>
      <c r="K264" s="17" t="inlineStr">
        <is>
          <t>0.85</t>
        </is>
      </c>
      <c r="L264" s="17" t="inlineStr">
        <is>
          <t>fact</t>
        </is>
      </c>
    </row>
    <row r="265">
      <c r="A265" s="17" t="inlineStr">
        <is>
          <t>EV-249fbf131a</t>
        </is>
      </c>
      <c r="B265" s="17" t="inlineStr">
        <is>
          <t>strategic_analysis</t>
        </is>
      </c>
      <c r="C265" s="17" t="inlineStr">
        <is>
          <t>r1</t>
        </is>
      </c>
      <c r="D265" s="18" t="inlineStr">
        <is>
          <t>Forca: a matriz Gestao de Projetos x TDAH separa nivel de evidencia (B/C) de inferencia de produto (E) linha a linha.</t>
        </is>
      </c>
      <c r="E265" s="17" t="inlineStr">
        <is>
          <t>SA-09A</t>
        </is>
      </c>
      <c r="F265" s="17" t="inlineStr">
        <is>
          <t>strength</t>
        </is>
      </c>
      <c r="G265" s="17" t="inlineStr">
        <is>
          <t>ECO-03</t>
        </is>
      </c>
      <c r="H265" s="17" t="inlineStr">
        <is>
          <t>DOC-C07-002</t>
        </is>
      </c>
      <c r="I265" s="18" t="inlineStr">
        <is>
          <t>DOC-C07-002 traz legenda explicita: 'B/C evidencia cientifica/clinica - C sustentacao clinica/publicada - E inferencia ou decisao de produto', e cada uma das 11 linhas carrega sua classificacao e sua fonte (NIMH, PubMed, Springer).</t>
        </is>
      </c>
      <c r="J265" s="17" t="inlineStr">
        <is>
          <t>strong</t>
        </is>
      </c>
      <c r="K265" s="17" t="inlineStr">
        <is>
          <t>0.9</t>
        </is>
      </c>
      <c r="L265" s="17" t="inlineStr">
        <is>
          <t>fact</t>
        </is>
      </c>
    </row>
    <row r="266">
      <c r="A266" s="17" t="inlineStr">
        <is>
          <t>EV-df1278a725</t>
        </is>
      </c>
      <c r="B266" s="17" t="inlineStr">
        <is>
          <t>strategic_analysis</t>
        </is>
      </c>
      <c r="C266" s="17" t="inlineStr">
        <is>
          <t>r1</t>
        </is>
      </c>
      <c r="D266" s="18" t="inlineStr">
        <is>
          <t>Forca: a matriz Gestao de Projetos x TDAH separa nivel de evidencia (B/C) de inferencia de produto (E) linha a linha.</t>
        </is>
      </c>
      <c r="E266" s="17" t="inlineStr">
        <is>
          <t>SA-09A</t>
        </is>
      </c>
      <c r="F266" s="17" t="inlineStr">
        <is>
          <t>strength</t>
        </is>
      </c>
      <c r="G266" s="17" t="inlineStr">
        <is>
          <t>ECO-03</t>
        </is>
      </c>
      <c r="H266" s="17" t="inlineStr">
        <is>
          <t>DOC-C07-003</t>
        </is>
      </c>
      <c r="I266" s="18" t="inlineStr">
        <is>
          <t>DOC-C07-002 traz legenda explicita: 'B/C evidencia cientifica/clinica - C sustentacao clinica/publicada - E inferencia ou decisao de produto', e cada uma das 11 linhas carrega sua classificacao e sua fonte (NIMH, PubMed, Springer).</t>
        </is>
      </c>
      <c r="J266" s="17" t="inlineStr">
        <is>
          <t>strong</t>
        </is>
      </c>
      <c r="K266" s="17" t="inlineStr">
        <is>
          <t>0.9</t>
        </is>
      </c>
      <c r="L266" s="17" t="inlineStr">
        <is>
          <t>fact</t>
        </is>
      </c>
    </row>
    <row r="267">
      <c r="A267" s="17" t="inlineStr">
        <is>
          <t>EV-0cebb16389</t>
        </is>
      </c>
      <c r="B267" s="17" t="inlineStr">
        <is>
          <t>strategic_analysis</t>
        </is>
      </c>
      <c r="C267" s="17" t="inlineStr">
        <is>
          <t>r1</t>
        </is>
      </c>
      <c r="D267" s="18" t="inlineStr">
        <is>
          <t>Forca: a matriz Gestao de Projetos x TDAH separa nivel de evidencia (B/C) de inferencia de produto (E) linha a linha.</t>
        </is>
      </c>
      <c r="E267" s="17" t="inlineStr">
        <is>
          <t>SA-09A</t>
        </is>
      </c>
      <c r="F267" s="17" t="inlineStr">
        <is>
          <t>strength</t>
        </is>
      </c>
      <c r="G267" s="17" t="inlineStr">
        <is>
          <t>ECO-03</t>
        </is>
      </c>
      <c r="H267" s="17" t="inlineStr">
        <is>
          <t>DOC-C07-004</t>
        </is>
      </c>
      <c r="I267" s="18" t="inlineStr">
        <is>
          <t>DOC-C07-002 traz legenda explicita: 'B/C evidencia cientifica/clinica - C sustentacao clinica/publicada - E inferencia ou decisao de produto', e cada uma das 11 linhas carrega sua classificacao e sua fonte (NIMH, PubMed, Springer).</t>
        </is>
      </c>
      <c r="J267" s="17" t="inlineStr">
        <is>
          <t>strong</t>
        </is>
      </c>
      <c r="K267" s="17" t="inlineStr">
        <is>
          <t>0.9</t>
        </is>
      </c>
      <c r="L267" s="17" t="inlineStr">
        <is>
          <t>fact</t>
        </is>
      </c>
    </row>
    <row r="268">
      <c r="A268" s="17" t="inlineStr">
        <is>
          <t>EV-2dc7d3b260</t>
        </is>
      </c>
      <c r="B268" s="17" t="inlineStr">
        <is>
          <t>strategic_analysis</t>
        </is>
      </c>
      <c r="C268" s="17" t="inlineStr">
        <is>
          <t>r1</t>
        </is>
      </c>
      <c r="D268" s="18" t="inlineStr">
        <is>
          <t>Ameaca: a duplicidade documental do acervo pode reintroduzir versoes superadas em material publico.</t>
        </is>
      </c>
      <c r="E268" s="17" t="inlineStr">
        <is>
          <t>SA-09D</t>
        </is>
      </c>
      <c r="F268" s="17" t="inlineStr">
        <is>
          <t>threat</t>
        </is>
      </c>
      <c r="G268" s="17" t="inlineStr">
        <is>
          <t>ECO-03</t>
        </is>
      </c>
      <c r="H268" s="17" t="inlineStr">
        <is>
          <t>DOC-C03-002</t>
        </is>
      </c>
      <c r="I268" s="18" t="inlineStr">
        <is>
          <t>DOC-C03-002 (fonte original 'text 3.txt') e DOC-C01-005 contem o mesmo texto; DOC-C02-042/043 preservam decisoes superadas por politica declarada ('preservacao das decisoes superadas para manter proveniencia').</t>
        </is>
      </c>
      <c r="J268" s="17" t="inlineStr">
        <is>
          <t>moderate</t>
        </is>
      </c>
      <c r="K268" s="17" t="inlineStr">
        <is>
          <t>0.75</t>
        </is>
      </c>
      <c r="L268" s="17" t="inlineStr">
        <is>
          <t>inference</t>
        </is>
      </c>
    </row>
    <row r="269">
      <c r="A269" s="17" t="inlineStr">
        <is>
          <t>EV-c06ba61b34</t>
        </is>
      </c>
      <c r="B269" s="17" t="inlineStr">
        <is>
          <t>strategic_analysis</t>
        </is>
      </c>
      <c r="C269" s="17" t="inlineStr">
        <is>
          <t>r1</t>
        </is>
      </c>
      <c r="D269" s="18" t="inlineStr">
        <is>
          <t>Ameaca: a duplicidade documental do acervo pode reintroduzir versoes superadas em material publico.</t>
        </is>
      </c>
      <c r="E269" s="17" t="inlineStr">
        <is>
          <t>SA-09D</t>
        </is>
      </c>
      <c r="F269" s="17" t="inlineStr">
        <is>
          <t>threat</t>
        </is>
      </c>
      <c r="G269" s="17" t="inlineStr">
        <is>
          <t>ECO-03</t>
        </is>
      </c>
      <c r="H269" s="17" t="inlineStr">
        <is>
          <t>DOC-C01-005</t>
        </is>
      </c>
      <c r="I269" s="18" t="inlineStr">
        <is>
          <t>DOC-C03-002 (fonte original 'text 3.txt') e DOC-C01-005 contem o mesmo texto; DOC-C02-042/043 preservam decisoes superadas por politica declarada ('preservacao das decisoes superadas para manter proveniencia').</t>
        </is>
      </c>
      <c r="J269" s="17" t="inlineStr">
        <is>
          <t>moderate</t>
        </is>
      </c>
      <c r="K269" s="17" t="inlineStr">
        <is>
          <t>0.75</t>
        </is>
      </c>
      <c r="L269" s="17" t="inlineStr">
        <is>
          <t>inference</t>
        </is>
      </c>
    </row>
    <row r="270">
      <c r="A270" s="17" t="inlineStr">
        <is>
          <t>EV-a540974e61</t>
        </is>
      </c>
      <c r="B270" s="17" t="inlineStr">
        <is>
          <t>strategic_analysis</t>
        </is>
      </c>
      <c r="C270" s="17" t="inlineStr">
        <is>
          <t>r1</t>
        </is>
      </c>
      <c r="D270" s="18" t="inlineStr">
        <is>
          <t>Ameaca: a duplicidade documental do acervo pode reintroduzir versoes superadas em material publico.</t>
        </is>
      </c>
      <c r="E270" s="17" t="inlineStr">
        <is>
          <t>SA-09D</t>
        </is>
      </c>
      <c r="F270" s="17" t="inlineStr">
        <is>
          <t>threat</t>
        </is>
      </c>
      <c r="G270" s="17" t="inlineStr">
        <is>
          <t>ECO-03</t>
        </is>
      </c>
      <c r="H270" s="17" t="inlineStr">
        <is>
          <t>DOC-C02-043</t>
        </is>
      </c>
      <c r="I270" s="18" t="inlineStr">
        <is>
          <t>DOC-C03-002 (fonte original 'text 3.txt') e DOC-C01-005 contem o mesmo texto; DOC-C02-042/043 preservam decisoes superadas por politica declarada ('preservacao das decisoes superadas para manter proveniencia').</t>
        </is>
      </c>
      <c r="J270" s="17" t="inlineStr">
        <is>
          <t>moderate</t>
        </is>
      </c>
      <c r="K270" s="17" t="inlineStr">
        <is>
          <t>0.75</t>
        </is>
      </c>
      <c r="L270" s="17" t="inlineStr">
        <is>
          <t>inference</t>
        </is>
      </c>
    </row>
    <row r="271">
      <c r="A271" s="17" t="inlineStr">
        <is>
          <t>EV-c61c800cac</t>
        </is>
      </c>
      <c r="B271" s="17" t="inlineStr">
        <is>
          <t>strategic_analysis</t>
        </is>
      </c>
      <c r="C271" s="17" t="inlineStr">
        <is>
          <t>r2</t>
        </is>
      </c>
      <c r="D271" s="18" t="inlineStr">
        <is>
          <t>A estrutura de custo declarada para o produto fisico depende de frete internacional e impostos de importacao, ambos ainda nao quantificados.</t>
        </is>
      </c>
      <c r="E271" s="17" t="inlineStr">
        <is>
          <t>SA-01</t>
        </is>
      </c>
      <c r="F271" s="17" t="inlineStr">
        <is>
          <t>economic</t>
        </is>
      </c>
      <c r="G271" s="17" t="inlineStr">
        <is>
          <t>ECO-04</t>
        </is>
      </c>
      <c r="H271" s="17" t="inlineStr">
        <is>
          <t>DOC-C05-001</t>
        </is>
      </c>
      <c r="I271" s="18" t="inlineStr">
        <is>
          <t>Ecossistema, Unit Economics: 'Preco do fornecedor R$ 39 | + frete internacional preencher | + impostos/importacao preencher | + frete/localizacao preencher | + embalagem Executar preencher | + etiqueta/manual/QR preencher | = Custo posto / landed cost X'.</t>
        </is>
      </c>
      <c r="J271" s="17" t="inlineStr">
        <is>
          <t>strong</t>
        </is>
      </c>
      <c r="K271" s="17" t="inlineStr">
        <is>
          <t>0.85</t>
        </is>
      </c>
      <c r="L271" s="17" t="inlineStr">
        <is>
          <t>fact</t>
        </is>
      </c>
    </row>
    <row r="272">
      <c r="A272" s="17" t="inlineStr">
        <is>
          <t>EV-0730bcf052</t>
        </is>
      </c>
      <c r="B272" s="17" t="inlineStr">
        <is>
          <t>strategic_analysis</t>
        </is>
      </c>
      <c r="C272" s="17" t="inlineStr">
        <is>
          <t>r2</t>
        </is>
      </c>
      <c r="D272" s="18" t="inlineStr">
        <is>
          <t>A Hotmart impoe requisito de autoria e proibicao de conteudo copiado ou gerado por IA no cadastro de e-books, o que restringe o workflow de producao assistida por IA.</t>
        </is>
      </c>
      <c r="E272" s="17" t="inlineStr">
        <is>
          <t>SA-01</t>
        </is>
      </c>
      <c r="F272" s="17" t="inlineStr">
        <is>
          <t>legal_regulatory</t>
        </is>
      </c>
      <c r="G272" s="17" t="inlineStr">
        <is>
          <t>ECO-05</t>
        </is>
      </c>
      <c r="H272" s="17" t="inlineStr">
        <is>
          <t>DOC-C05-001</t>
        </is>
      </c>
      <c r="I272" s="18" t="inlineStr">
        <is>
          <t>Ecossistema: 'A Hotmart hoje tambem exige, no cadastro de e-books, identificacao de autoria e informa que o conteudo nao deve conter trechos copiados da internet ou gerados por IA.' e 'eu trataria a redacao final comercial como conteudo autoral seu, revisado e referenciado'.</t>
        </is>
      </c>
      <c r="J272" s="17" t="inlineStr">
        <is>
          <t>moderate</t>
        </is>
      </c>
      <c r="K272" s="17" t="inlineStr">
        <is>
          <t>0.75</t>
        </is>
      </c>
      <c r="L272" s="17" t="inlineStr">
        <is>
          <t>fact</t>
        </is>
      </c>
    </row>
    <row r="273">
      <c r="A273" s="17" t="inlineStr">
        <is>
          <t>EV-dd85d4ad81</t>
        </is>
      </c>
      <c r="B273" s="17" t="inlineStr">
        <is>
          <t>strategic_analysis</t>
        </is>
      </c>
      <c r="C273" s="17" t="inlineStr">
        <is>
          <t>r2</t>
        </is>
      </c>
      <c r="D273" s="18" t="inlineStr">
        <is>
          <t>A taxa da Hotmart muda dentro da janela de lancamento: 9,9% + R$ 1,00 hoje, com aumento anunciado da parcela fixa para R$ 2,49 em 21/09/2026.</t>
        </is>
      </c>
      <c r="E273" s="17" t="inlineStr">
        <is>
          <t>SA-01</t>
        </is>
      </c>
      <c r="F273" s="17" t="inlineStr">
        <is>
          <t>economic</t>
        </is>
      </c>
      <c r="G273" s="17" t="inlineStr">
        <is>
          <t>ECO-05</t>
        </is>
      </c>
      <c r="H273" s="17" t="inlineStr">
        <is>
          <t>DOC-C05-001</t>
        </is>
      </c>
      <c r="I273" s="18" t="inlineStr">
        <is>
          <t>Ecossistema: 'a Central de Ajuda da Hotmart ainda mostra 9,9% + R$ 1,00 para transacoes gerais em BRL acima de R$ 10, mas informa que a taxa fixa passara a R$ 2,49 em 21 de setembro de 2026; a pagina comercial da Hotmart ja anuncia 9,9% + R$ 2,49. Eu faria suas projecoes usando 9,9% + R$ 2,49, por prudencia.'</t>
        </is>
      </c>
      <c r="J273" s="17" t="inlineStr">
        <is>
          <t>moderate</t>
        </is>
      </c>
      <c r="K273" s="17" t="inlineStr">
        <is>
          <t>0.8</t>
        </is>
      </c>
      <c r="L273" s="17" t="inlineStr">
        <is>
          <t>fact</t>
        </is>
      </c>
    </row>
    <row r="274">
      <c r="A274" s="17" t="inlineStr">
        <is>
          <t>EV-1432be2515</t>
        </is>
      </c>
      <c r="B274" s="17" t="inlineStr">
        <is>
          <t>strategic_analysis</t>
        </is>
      </c>
      <c r="C274" s="17" t="inlineStr">
        <is>
          <t>r2</t>
        </is>
      </c>
      <c r="D274" s="18" t="inlineStr">
        <is>
          <t>Posicionar um livro digital como sintese de obra protegida de Barkley cria exposicao autoral; o acervo ja registra a correcao de posicionamento.</t>
        </is>
      </c>
      <c r="E274" s="17" t="inlineStr">
        <is>
          <t>SA-01</t>
        </is>
      </c>
      <c r="F274" s="17" t="inlineStr">
        <is>
          <t>legal_regulatory</t>
        </is>
      </c>
      <c r="G274" s="17" t="inlineStr">
        <is>
          <t>ECO-06</t>
        </is>
      </c>
      <c r="H274" s="17" t="inlineStr">
        <is>
          <t>DOC-C05-001</t>
        </is>
      </c>
      <c r="I274" s="18" t="inlineStr">
        <is>
          <t>Ecossistema, 'Um alerta importante sobre autoria': 'No documento anterior, um dos produtos era definido como uma releitura e sintese de Barkley... Nao posicionaria: Sintese pratica do livro de Barkley. Posicionaria: Guia original baseado em evidencias sobre TDAH adulto, gestao e execucao, com Barkley e outros autores como referencias bibliograficas.'</t>
        </is>
      </c>
      <c r="J274" s="17" t="inlineStr">
        <is>
          <t>strong</t>
        </is>
      </c>
      <c r="K274" s="17" t="inlineStr">
        <is>
          <t>0.85</t>
        </is>
      </c>
      <c r="L274" s="17" t="inlineStr">
        <is>
          <t>fact</t>
        </is>
      </c>
    </row>
    <row r="275">
      <c r="A275" s="17" t="inlineStr">
        <is>
          <t>EV-6233745fea</t>
        </is>
      </c>
      <c r="B275" s="17" t="inlineStr">
        <is>
          <t>strategic_analysis</t>
        </is>
      </c>
      <c r="C275" s="17" t="inlineStr">
        <is>
          <t>r2</t>
        </is>
      </c>
      <c r="D275" s="18" t="inlineStr">
        <is>
          <t>O programa de afiliados exige divulgacao explicita de monetizacao junto ao link, o que ja esta normatizado no acervo.</t>
        </is>
      </c>
      <c r="E275" s="17" t="inlineStr">
        <is>
          <t>SA-01</t>
        </is>
      </c>
      <c r="F275" s="17" t="inlineStr">
        <is>
          <t>legal_regulatory</t>
        </is>
      </c>
      <c r="G275" s="17" t="inlineStr">
        <is>
          <t>ECO-08</t>
        </is>
      </c>
      <c r="H275" s="17" t="inlineStr">
        <is>
          <t>DOC-C05-001</t>
        </is>
      </c>
      <c r="I275" s="18" t="inlineStr">
        <is>
          <t>Ecossistema, Master Index Afiliados AF-06: 'Todo link monetizado deve ser identificado'; copy padrao: 'Link de afiliado, posso receber comissao pela compra sem alteracao no preco para voce'; e 'A declaracao exigida pela Amazon no site e: Como associado da Amazon, eu recebo por compras qualificadas.'</t>
        </is>
      </c>
      <c r="J275" s="17" t="inlineStr">
        <is>
          <t>strong</t>
        </is>
      </c>
      <c r="K275" s="17" t="inlineStr">
        <is>
          <t>0.85</t>
        </is>
      </c>
      <c r="L275" s="17" t="inlineStr">
        <is>
          <t>fact</t>
        </is>
      </c>
    </row>
    <row r="276">
      <c r="A276" s="17" t="inlineStr">
        <is>
          <t>EV-51c20f91e7</t>
        </is>
      </c>
      <c r="B276" s="17" t="inlineStr">
        <is>
          <t>strategic_analysis</t>
        </is>
      </c>
      <c r="C276" s="17" t="inlineStr">
        <is>
          <t>r2</t>
        </is>
      </c>
      <c r="D276" s="18" t="inlineStr">
        <is>
          <t>O programa de afiliados exige divulgacao explicita de monetizacao junto ao link, o que ja esta normatizado no acervo.</t>
        </is>
      </c>
      <c r="E276" s="17" t="inlineStr">
        <is>
          <t>SA-01</t>
        </is>
      </c>
      <c r="F276" s="17" t="inlineStr">
        <is>
          <t>legal_regulatory</t>
        </is>
      </c>
      <c r="G276" s="17" t="inlineStr">
        <is>
          <t>ECO-08</t>
        </is>
      </c>
      <c r="H276" s="17" t="inlineStr">
        <is>
          <t>DOC-C09-018</t>
        </is>
      </c>
      <c r="I276" s="18" t="inlineStr">
        <is>
          <t>Ecossistema, Master Index Afiliados AF-06: 'Todo link monetizado deve ser identificado'; copy padrao: 'Link de afiliado, posso receber comissao pela compra sem alteracao no preco para voce'; e 'A declaracao exigida pela Amazon no site e: Como associado da Amazon, eu recebo por compras qualificadas.'</t>
        </is>
      </c>
      <c r="J276" s="17" t="inlineStr">
        <is>
          <t>strong</t>
        </is>
      </c>
      <c r="K276" s="17" t="inlineStr">
        <is>
          <t>0.85</t>
        </is>
      </c>
      <c r="L276" s="17" t="inlineStr">
        <is>
          <t>fact</t>
        </is>
      </c>
    </row>
    <row r="277">
      <c r="A277" s="17" t="inlineStr">
        <is>
          <t>EV-9095acd402</t>
        </is>
      </c>
      <c r="B277" s="17" t="inlineStr">
        <is>
          <t>strategic_analysis</t>
        </is>
      </c>
      <c r="C277" s="17" t="inlineStr">
        <is>
          <t>r2</t>
        </is>
      </c>
      <c r="D277" s="18" t="inlineStr">
        <is>
          <t>O acervo recomenda registro do neologismo de marca e aquisicao de dominios como pre-condicao do ativo editorial, sem confirmacao de execucao.</t>
        </is>
      </c>
      <c r="E277" s="17" t="inlineStr">
        <is>
          <t>SA-01</t>
        </is>
      </c>
      <c r="F277" s="17" t="inlineStr">
        <is>
          <t>legal_regulatory</t>
        </is>
      </c>
      <c r="G277" s="17" t="inlineStr">
        <is>
          <t>ECO-08</t>
        </is>
      </c>
      <c r="H277" s="17" t="inlineStr">
        <is>
          <t>DOC-C07-009</t>
        </is>
      </c>
      <c r="I277" s="18" t="inlineStr">
        <is>
          <t>Dashboard QL-0037, tema Estrategia, subtema 'Protecao da marca': 'O documento recomenda registro do neologismo e aquisicao de dominios'; acao secundaria: 'Executar busca marcaria e juridica antes de investimento em protecao'. BMC 'AGORA': 'Confirmar dominio e reservar @riscocognitivo'.</t>
        </is>
      </c>
      <c r="J277" s="17" t="inlineStr">
        <is>
          <t>moderate</t>
        </is>
      </c>
      <c r="K277" s="17" t="inlineStr">
        <is>
          <t>0.75</t>
        </is>
      </c>
      <c r="L277" s="17" t="inlineStr">
        <is>
          <t>fact</t>
        </is>
      </c>
    </row>
    <row r="278">
      <c r="A278" s="17" t="inlineStr">
        <is>
          <t>EV-217b8eb80c</t>
        </is>
      </c>
      <c r="B278" s="17" t="inlineStr">
        <is>
          <t>strategic_analysis</t>
        </is>
      </c>
      <c r="C278" s="17" t="inlineStr">
        <is>
          <t>r2</t>
        </is>
      </c>
      <c r="D278" s="18" t="inlineStr">
        <is>
          <t>O acervo recomenda registro do neologismo de marca e aquisicao de dominios como pre-condicao do ativo editorial, sem confirmacao de execucao.</t>
        </is>
      </c>
      <c r="E278" s="17" t="inlineStr">
        <is>
          <t>SA-01</t>
        </is>
      </c>
      <c r="F278" s="17" t="inlineStr">
        <is>
          <t>legal_regulatory</t>
        </is>
      </c>
      <c r="G278" s="17" t="inlineStr">
        <is>
          <t>ECO-08</t>
        </is>
      </c>
      <c r="H278" s="17" t="inlineStr">
        <is>
          <t>DOC-C02-039</t>
        </is>
      </c>
      <c r="I278" s="18" t="inlineStr">
        <is>
          <t>Dashboard QL-0037, tema Estrategia, subtema 'Protecao da marca': 'O documento recomenda registro do neologismo e aquisicao de dominios'; acao secundaria: 'Executar busca marcaria e juridica antes de investimento em protecao'. BMC 'AGORA': 'Confirmar dominio e reservar @riscocognitivo'.</t>
        </is>
      </c>
      <c r="J278" s="17" t="inlineStr">
        <is>
          <t>moderate</t>
        </is>
      </c>
      <c r="K278" s="17" t="inlineStr">
        <is>
          <t>0.75</t>
        </is>
      </c>
      <c r="L278" s="17" t="inlineStr">
        <is>
          <t>fact</t>
        </is>
      </c>
    </row>
    <row r="279">
      <c r="A279" s="17" t="inlineStr">
        <is>
          <t>EV-a8d208dd99</t>
        </is>
      </c>
      <c r="B279" s="17" t="inlineStr">
        <is>
          <t>strategic_analysis</t>
        </is>
      </c>
      <c r="C279" s="17" t="inlineStr">
        <is>
          <t>r2</t>
        </is>
      </c>
      <c r="D279" s="18" t="inlineStr">
        <is>
          <t>A mockup de loja fisica promete devolucao em 7 dias e frete gratis acima de R$ 199 sem que exista politica, contrato de transporte ou operacao logistica documentada no acervo.</t>
        </is>
      </c>
      <c r="E279" s="17" t="inlineStr">
        <is>
          <t>SA-01</t>
        </is>
      </c>
      <c r="F279" s="17" t="inlineStr">
        <is>
          <t>legal_regulatory</t>
        </is>
      </c>
      <c r="G279" s="17" t="inlineStr">
        <is>
          <t>ECO-04</t>
        </is>
      </c>
      <c r="H279" s="17" t="inlineStr">
        <is>
          <t>DOC-C13-008</t>
        </is>
      </c>
      <c r="I279" s="18" t="inlineStr">
        <is>
          <t>Referencia visual Office Kit (mockup executar.com/kit-tdah-planner-reprint): 'Frete gratis acima de R$ 199 | Envio rapido e seguro | 7 dias para devolucao | Compra 100% segura'. Nenhum documento de produtos fisicos define politica de troca, transportadora ou prazo.</t>
        </is>
      </c>
      <c r="J279" s="17" t="inlineStr">
        <is>
          <t>moderate</t>
        </is>
      </c>
      <c r="K279" s="17" t="inlineStr">
        <is>
          <t>0.7</t>
        </is>
      </c>
      <c r="L279" s="17" t="inlineStr">
        <is>
          <t>gap</t>
        </is>
      </c>
    </row>
    <row r="280">
      <c r="A280" s="17" t="inlineStr">
        <is>
          <t>EV-0e4787b756</t>
        </is>
      </c>
      <c r="B280" s="17" t="inlineStr">
        <is>
          <t>strategic_analysis</t>
        </is>
      </c>
      <c r="C280" s="17" t="inlineStr">
        <is>
          <t>r2</t>
        </is>
      </c>
      <c r="D280" s="18" t="inlineStr">
        <is>
          <t>A mockup de loja fisica promete devolucao em 7 dias e frete gratis acima de R$ 199 sem que exista politica, contrato de transporte ou operacao logistica documentada no acervo.</t>
        </is>
      </c>
      <c r="E280" s="17" t="inlineStr">
        <is>
          <t>SA-01</t>
        </is>
      </c>
      <c r="F280" s="17" t="inlineStr">
        <is>
          <t>legal_regulatory</t>
        </is>
      </c>
      <c r="G280" s="17" t="inlineStr">
        <is>
          <t>ECO-04</t>
        </is>
      </c>
      <c r="H280" s="17" t="inlineStr">
        <is>
          <t>DOC-C09-008</t>
        </is>
      </c>
      <c r="I280" s="18" t="inlineStr">
        <is>
          <t>Referencia visual Office Kit (mockup executar.com/kit-tdah-planner-reprint): 'Frete gratis acima de R$ 199 | Envio rapido e seguro | 7 dias para devolucao | Compra 100% segura'. Nenhum documento de produtos fisicos define politica de troca, transportadora ou prazo.</t>
        </is>
      </c>
      <c r="J280" s="17" t="inlineStr">
        <is>
          <t>moderate</t>
        </is>
      </c>
      <c r="K280" s="17" t="inlineStr">
        <is>
          <t>0.7</t>
        </is>
      </c>
      <c r="L280" s="17" t="inlineStr">
        <is>
          <t>gap</t>
        </is>
      </c>
    </row>
    <row r="281">
      <c r="A281" s="17" t="inlineStr">
        <is>
          <t>EV-37fa680322</t>
        </is>
      </c>
      <c r="B281" s="17" t="inlineStr">
        <is>
          <t>strategic_analysis</t>
        </is>
      </c>
      <c r="C281" s="17" t="inlineStr">
        <is>
          <t>r2</t>
        </is>
      </c>
      <c r="D281" s="18" t="inlineStr">
        <is>
          <t>O Timer 45 enfrenta substitutos diretos e visiveis em marketplaces brasileiros, com precos de varejo entre R$ 28,46 e R$ 97,90.</t>
        </is>
      </c>
      <c r="E281" s="17" t="inlineStr">
        <is>
          <t>SA-02</t>
        </is>
      </c>
      <c r="F281" s="17" t="inlineStr">
        <is>
          <t>threat_of_substitutes</t>
        </is>
      </c>
      <c r="G281" s="17" t="inlineStr">
        <is>
          <t>ECO-04</t>
        </is>
      </c>
      <c r="H281" s="17" t="inlineStr">
        <is>
          <t>DOC-C13-010</t>
        </is>
      </c>
      <c r="I281" s="18" t="inlineStr">
        <is>
          <t>Referencia visual Timer 45: captura de busca 'timer 45 cubo' com Sponsored products 'Timer Cubo Pomodoro Temporizador Digital R$97,90 (de R$196) Mercado Livre', 'DQDEDIAN Temporizador Pomodoro rotativo R$95,70 Amazon.com.br', 'Produtividade cubo temporizador sensor de gravidade R$28,46 (de R$31) AliExpress'.</t>
        </is>
      </c>
      <c r="J281" s="17" t="inlineStr">
        <is>
          <t>strong</t>
        </is>
      </c>
      <c r="K281" s="17" t="inlineStr">
        <is>
          <t>0.85</t>
        </is>
      </c>
      <c r="L281" s="17" t="inlineStr">
        <is>
          <t>fact</t>
        </is>
      </c>
    </row>
    <row r="282">
      <c r="A282" s="17" t="inlineStr">
        <is>
          <t>EV-5f7a01dea6</t>
        </is>
      </c>
      <c r="B282" s="17" t="inlineStr">
        <is>
          <t>strategic_analysis</t>
        </is>
      </c>
      <c r="C282" s="17" t="inlineStr">
        <is>
          <t>r2</t>
        </is>
      </c>
      <c r="D282" s="18" t="inlineStr">
        <is>
          <t>O preco de fornecedor citado (R$ 39) esta na mesma faixa do preco de varejo do substituto mais barato observado (R$ 28,46), o que comprime a margem do SKU isolado.</t>
        </is>
      </c>
      <c r="E282" s="17" t="inlineStr">
        <is>
          <t>SA-02</t>
        </is>
      </c>
      <c r="F282" s="17" t="inlineStr">
        <is>
          <t>supplier_power</t>
        </is>
      </c>
      <c r="G282" s="17" t="inlineStr">
        <is>
          <t>ECO-04</t>
        </is>
      </c>
      <c r="H282" s="17" t="inlineStr">
        <is>
          <t>DOC-C05-001</t>
        </is>
      </c>
      <c r="I282" s="18" t="inlineStr">
        <is>
          <t>Ecossistema: 'No caso do Timer, os R$ 39 que voce mencionou sao apenas o preco de aquisicao aparente, nao o custo real do produto para o negocio'; captura de mercado mostra AliExpress a R$ 28,46 e Mercado Livre a R$ 97,90.</t>
        </is>
      </c>
      <c r="J282" s="17" t="inlineStr">
        <is>
          <t>moderate</t>
        </is>
      </c>
      <c r="K282" s="17" t="inlineStr">
        <is>
          <t>0.7</t>
        </is>
      </c>
      <c r="L282" s="17" t="inlineStr">
        <is>
          <t>inference</t>
        </is>
      </c>
    </row>
    <row r="283">
      <c r="A283" s="17" t="inlineStr">
        <is>
          <t>EV-e5e7460f33</t>
        </is>
      </c>
      <c r="B283" s="17" t="inlineStr">
        <is>
          <t>strategic_analysis</t>
        </is>
      </c>
      <c r="C283" s="17" t="inlineStr">
        <is>
          <t>r2</t>
        </is>
      </c>
      <c r="D283" s="18" t="inlineStr">
        <is>
          <t>O preco de fornecedor citado (R$ 39) esta na mesma faixa do preco de varejo do substituto mais barato observado (R$ 28,46), o que comprime a margem do SKU isolado.</t>
        </is>
      </c>
      <c r="E283" s="17" t="inlineStr">
        <is>
          <t>SA-02</t>
        </is>
      </c>
      <c r="F283" s="17" t="inlineStr">
        <is>
          <t>supplier_power</t>
        </is>
      </c>
      <c r="G283" s="17" t="inlineStr">
        <is>
          <t>ECO-04</t>
        </is>
      </c>
      <c r="H283" s="17" t="inlineStr">
        <is>
          <t>DOC-C13-010</t>
        </is>
      </c>
      <c r="I283" s="18" t="inlineStr">
        <is>
          <t>Ecossistema: 'No caso do Timer, os R$ 39 que voce mencionou sao apenas o preco de aquisicao aparente, nao o custo real do produto para o negocio'; captura de mercado mostra AliExpress a R$ 28,46 e Mercado Livre a R$ 97,90.</t>
        </is>
      </c>
      <c r="J283" s="17" t="inlineStr">
        <is>
          <t>moderate</t>
        </is>
      </c>
      <c r="K283" s="17" t="inlineStr">
        <is>
          <t>0.7</t>
        </is>
      </c>
      <c r="L283" s="17" t="inlineStr">
        <is>
          <t>inference</t>
        </is>
      </c>
    </row>
    <row r="284">
      <c r="A284" s="17" t="inlineStr">
        <is>
          <t>EV-8cb7da6bd3</t>
        </is>
      </c>
      <c r="B284" s="17" t="inlineStr">
        <is>
          <t>strategic_analysis</t>
        </is>
      </c>
      <c r="C284" s="17" t="inlineStr">
        <is>
          <t>r2</t>
        </is>
      </c>
      <c r="D284" s="18" t="inlineStr">
        <is>
          <t>Nenhum fornecedor, prazo de entrega, lote minimo ou contrato aparece nomeado em qualquer documento da linha fisica.</t>
        </is>
      </c>
      <c r="E284" s="17" t="inlineStr">
        <is>
          <t>SA-02</t>
        </is>
      </c>
      <c r="F284" s="17" t="inlineStr">
        <is>
          <t>supplier_power</t>
        </is>
      </c>
      <c r="G284" s="17" t="inlineStr">
        <is>
          <t>ECO-04</t>
        </is>
      </c>
      <c r="H284" s="17" t="inlineStr">
        <is>
          <t>DOC-C09-008</t>
        </is>
      </c>
      <c r="I284" s="18" t="inlineStr">
        <is>
          <t>DOC-C09-008 lista apenas 'Produto | Funcao | Situacao para lancamento' sem fornecedor; a cadeia de custo em DOC-C05-001 traz todos os componentes como 'preencher'.</t>
        </is>
      </c>
      <c r="J284" s="17" t="inlineStr">
        <is>
          <t>strong</t>
        </is>
      </c>
      <c r="K284" s="17" t="inlineStr">
        <is>
          <t>0.85</t>
        </is>
      </c>
      <c r="L284" s="17" t="inlineStr">
        <is>
          <t>gap</t>
        </is>
      </c>
    </row>
    <row r="285">
      <c r="A285" s="17" t="inlineStr">
        <is>
          <t>EV-c4ad82eb7e</t>
        </is>
      </c>
      <c r="B285" s="17" t="inlineStr">
        <is>
          <t>strategic_analysis</t>
        </is>
      </c>
      <c r="C285" s="17" t="inlineStr">
        <is>
          <t>r2</t>
        </is>
      </c>
      <c r="D285" s="18" t="inlineStr">
        <is>
          <t>Nenhum fornecedor, prazo de entrega, lote minimo ou contrato aparece nomeado em qualquer documento da linha fisica.</t>
        </is>
      </c>
      <c r="E285" s="17" t="inlineStr">
        <is>
          <t>SA-02</t>
        </is>
      </c>
      <c r="F285" s="17" t="inlineStr">
        <is>
          <t>supplier_power</t>
        </is>
      </c>
      <c r="G285" s="17" t="inlineStr">
        <is>
          <t>ECO-04</t>
        </is>
      </c>
      <c r="H285" s="17" t="inlineStr">
        <is>
          <t>DOC-C05-001</t>
        </is>
      </c>
      <c r="I285" s="18" t="inlineStr">
        <is>
          <t>DOC-C09-008 lista apenas 'Produto | Funcao | Situacao para lancamento' sem fornecedor; a cadeia de custo em DOC-C05-001 traz todos os componentes como 'preencher'.</t>
        </is>
      </c>
      <c r="J285" s="17" t="inlineStr">
        <is>
          <t>strong</t>
        </is>
      </c>
      <c r="K285" s="17" t="inlineStr">
        <is>
          <t>0.85</t>
        </is>
      </c>
      <c r="L285" s="17" t="inlineStr">
        <is>
          <t>gap</t>
        </is>
      </c>
    </row>
    <row r="286">
      <c r="A286" s="17" t="inlineStr">
        <is>
          <t>EV-1ec8c5cc44</t>
        </is>
      </c>
      <c r="B286" s="17" t="inlineStr">
        <is>
          <t>strategic_analysis</t>
        </is>
      </c>
      <c r="C286" s="17" t="inlineStr">
        <is>
          <t>r2</t>
        </is>
      </c>
      <c r="D286" s="18" t="inlineStr">
        <is>
          <t>O mercado de e-books de TDAH observado esta ancorado em preco baixo, o que limita o poder de preco do infoproduto de entrada.</t>
        </is>
      </c>
      <c r="E286" s="17" t="inlineStr">
        <is>
          <t>SA-02</t>
        </is>
      </c>
      <c r="F286" s="17" t="inlineStr">
        <is>
          <t>buyer_power</t>
        </is>
      </c>
      <c r="G286" s="17" t="inlineStr">
        <is>
          <t>ECO-05</t>
        </is>
      </c>
      <c r="H286" s="17" t="inlineStr">
        <is>
          <t>DOC-C05-001</t>
        </is>
      </c>
      <c r="I286" s="18" t="inlineStr">
        <is>
          <t>Ecossistema, Benchmark e-books: 'Ha ofertas de TDAH por R$ 19,90, R$ 27, R$ 29,90 e R$ 37,90; um e-book comercial da Artmed de Barkley, muito mais extenso e editorialmente tradicional, esta em R$ 97,28.'</t>
        </is>
      </c>
      <c r="J286" s="17" t="inlineStr">
        <is>
          <t>moderate</t>
        </is>
      </c>
      <c r="K286" s="17" t="inlineStr">
        <is>
          <t>0.7</t>
        </is>
      </c>
      <c r="L286" s="17" t="inlineStr">
        <is>
          <t>fact</t>
        </is>
      </c>
    </row>
    <row r="287">
      <c r="A287" s="17" t="inlineStr">
        <is>
          <t>EV-05508593c0</t>
        </is>
      </c>
      <c r="B287" s="17" t="inlineStr">
        <is>
          <t>strategic_analysis</t>
        </is>
      </c>
      <c r="C287" s="17" t="inlineStr">
        <is>
          <t>r2</t>
        </is>
      </c>
      <c r="D287" s="18" t="inlineStr">
        <is>
          <t>O benchmark de cursos vai de R$ 89,90 a R$ 1.997, e o acervo decide explicitamente nao competir nos extremos.</t>
        </is>
      </c>
      <c r="E287" s="17" t="inlineStr">
        <is>
          <t>SA-02</t>
        </is>
      </c>
      <c r="F287" s="17" t="inlineStr">
        <is>
          <t>rivalry</t>
        </is>
      </c>
      <c r="G287" s="17" t="inlineStr">
        <is>
          <t>ECO-05</t>
        </is>
      </c>
      <c r="H287" s="17" t="inlineStr">
        <is>
          <t>DOC-C05-001</t>
        </is>
      </c>
      <c r="I287" s="18" t="inlineStr">
        <is>
          <t>Ecossistema, Benchmark curso: 'Curso introdutorio/profissional de TDAH 12h, 16 aulas R$ 89,90 | Curso neurodivergencia/trabalho 15+ aulas R$ 97 | Escola ampla 200+ aulas R$ 197 | Programa Ana Beatriz ~R$ 196 | Programa guiado 7 encontros R$ 197 | Programa premium TDAH 2.0 90 dias, 75 aulas, app/IA R$ 1.997'; 'Seu curso de entrada nao deve tentar competir com o programa de R$ 1.997 nem com uma formacao clinica de 12 horas.'</t>
        </is>
      </c>
      <c r="J287" s="17" t="inlineStr">
        <is>
          <t>moderate</t>
        </is>
      </c>
      <c r="K287" s="17" t="inlineStr">
        <is>
          <t>0.75</t>
        </is>
      </c>
      <c r="L287" s="17" t="inlineStr">
        <is>
          <t>fact</t>
        </is>
      </c>
    </row>
    <row r="288">
      <c r="A288" s="17" t="inlineStr">
        <is>
          <t>EV-6760cf83e4</t>
        </is>
      </c>
      <c r="B288" s="17" t="inlineStr">
        <is>
          <t>strategic_analysis</t>
        </is>
      </c>
      <c r="C288" s="17" t="inlineStr">
        <is>
          <t>r2</t>
        </is>
      </c>
      <c r="D288" s="18" t="inlineStr">
        <is>
          <t>A Hotmart concentra checkout, area de membros, analytics e infraestrutura de afiliados, criando dependencia de canal com custo transacional definido.</t>
        </is>
      </c>
      <c r="E288" s="17" t="inlineStr">
        <is>
          <t>SA-02</t>
        </is>
      </c>
      <c r="F288" s="17" t="inlineStr">
        <is>
          <t>channel_power</t>
        </is>
      </c>
      <c r="G288" s="17" t="inlineStr">
        <is>
          <t>ECO-05</t>
        </is>
      </c>
      <c r="H288" s="17" t="inlineStr">
        <is>
          <t>DOC-C05-001</t>
        </is>
      </c>
      <c r="I288" s="18" t="inlineStr">
        <is>
          <t>Ecossistema, quadro 'Store propria x Hotmart': 'Checkout Proprio | Hotmart', 'Marketplace Nao | Sim', 'Dados de comportamento Mais controle | Analytics da Hotmart', 'Branding Total | Parcial'; taxa 9,9% + R$ 2,49.</t>
        </is>
      </c>
      <c r="J288" s="17" t="inlineStr">
        <is>
          <t>moderate</t>
        </is>
      </c>
      <c r="K288" s="17" t="inlineStr">
        <is>
          <t>0.75</t>
        </is>
      </c>
      <c r="L288" s="17" t="inlineStr">
        <is>
          <t>fact</t>
        </is>
      </c>
    </row>
    <row r="289">
      <c r="A289" s="17" t="inlineStr">
        <is>
          <t>EV-b609e0bc2a</t>
        </is>
      </c>
      <c r="B289" s="17" t="inlineStr">
        <is>
          <t>strategic_analysis</t>
        </is>
      </c>
      <c r="C289" s="17" t="inlineStr">
        <is>
          <t>r2</t>
        </is>
      </c>
      <c r="D289" s="18" t="inlineStr">
        <is>
          <t>A Hotmart concentra checkout, area de membros, analytics e infraestrutura de afiliados, criando dependencia de canal com custo transacional definido.</t>
        </is>
      </c>
      <c r="E289" s="17" t="inlineStr">
        <is>
          <t>SA-02</t>
        </is>
      </c>
      <c r="F289" s="17" t="inlineStr">
        <is>
          <t>channel_power</t>
        </is>
      </c>
      <c r="G289" s="17" t="inlineStr">
        <is>
          <t>ECO-05</t>
        </is>
      </c>
      <c r="H289" s="17" t="inlineStr">
        <is>
          <t>DOC-C09-015</t>
        </is>
      </c>
      <c r="I289" s="18" t="inlineStr">
        <is>
          <t>Ecossistema, quadro 'Store propria x Hotmart': 'Checkout Proprio | Hotmart', 'Marketplace Nao | Sim', 'Dados de comportamento Mais controle | Analytics da Hotmart', 'Branding Total | Parcial'; taxa 9,9% + R$ 2,49.</t>
        </is>
      </c>
      <c r="J289" s="17" t="inlineStr">
        <is>
          <t>moderate</t>
        </is>
      </c>
      <c r="K289" s="17" t="inlineStr">
        <is>
          <t>0.75</t>
        </is>
      </c>
      <c r="L289" s="17" t="inlineStr">
        <is>
          <t>fact</t>
        </is>
      </c>
    </row>
    <row r="290">
      <c r="A290" s="17" t="inlineStr">
        <is>
          <t>EV-a18881f82e</t>
        </is>
      </c>
      <c r="B290" s="17" t="inlineStr">
        <is>
          <t>strategic_analysis</t>
        </is>
      </c>
      <c r="C290" s="17" t="inlineStr">
        <is>
          <t>r2</t>
        </is>
      </c>
      <c r="D290" s="18" t="inlineStr">
        <is>
          <t>Os quatro canais de distribuicao previstos sao plataformas de terceiros, e o proprio acervo faz essa correcao terminologica.</t>
        </is>
      </c>
      <c r="E290" s="17" t="inlineStr">
        <is>
          <t>SA-02</t>
        </is>
      </c>
      <c r="F290" s="17" t="inlineStr">
        <is>
          <t>supplier_power</t>
        </is>
      </c>
      <c r="G290" s="17" t="inlineStr">
        <is>
          <t>ECO-08</t>
        </is>
      </c>
      <c r="H290" s="17" t="inlineStr">
        <is>
          <t>DOC-C05-001</t>
        </is>
      </c>
      <c r="I290" s="18" t="inlineStr">
        <is>
          <t>Ecossistema: 'Eu so faria uma correcao terminologica importante: Instagram, YouTube, TikTok e LinkedIn nao sao plataformas proprietarias; sao plataformas alugadas/terceiras'; a arquitetura separa OWNED 01-04 de DISTRIBUICAO 01-04.</t>
        </is>
      </c>
      <c r="J290" s="17" t="inlineStr">
        <is>
          <t>strong</t>
        </is>
      </c>
      <c r="K290" s="17" t="inlineStr">
        <is>
          <t>0.85</t>
        </is>
      </c>
      <c r="L290" s="17" t="inlineStr">
        <is>
          <t>fact</t>
        </is>
      </c>
    </row>
    <row r="291">
      <c r="A291" s="17" t="inlineStr">
        <is>
          <t>EV-856012c150</t>
        </is>
      </c>
      <c r="B291" s="17" t="inlineStr">
        <is>
          <t>strategic_analysis</t>
        </is>
      </c>
      <c r="C291" s="17" t="inlineStr">
        <is>
          <t>r2</t>
        </is>
      </c>
      <c r="D291" s="18" t="inlineStr">
        <is>
          <t>Os quatro canais de distribuicao previstos sao plataformas de terceiros, e o proprio acervo faz essa correcao terminologica.</t>
        </is>
      </c>
      <c r="E291" s="17" t="inlineStr">
        <is>
          <t>SA-02</t>
        </is>
      </c>
      <c r="F291" s="17" t="inlineStr">
        <is>
          <t>supplier_power</t>
        </is>
      </c>
      <c r="G291" s="17" t="inlineStr">
        <is>
          <t>ECO-08</t>
        </is>
      </c>
      <c r="H291" s="17" t="inlineStr">
        <is>
          <t>DOC-C14-004</t>
        </is>
      </c>
      <c r="I291" s="18" t="inlineStr">
        <is>
          <t>Ecossistema: 'Eu so faria uma correcao terminologica importante: Instagram, YouTube, TikTok e LinkedIn nao sao plataformas proprietarias; sao plataformas alugadas/terceiras'; a arquitetura separa OWNED 01-04 de DISTRIBUICAO 01-04.</t>
        </is>
      </c>
      <c r="J291" s="17" t="inlineStr">
        <is>
          <t>strong</t>
        </is>
      </c>
      <c r="K291" s="17" t="inlineStr">
        <is>
          <t>0.85</t>
        </is>
      </c>
      <c r="L291" s="17" t="inlineStr">
        <is>
          <t>fact</t>
        </is>
      </c>
    </row>
    <row r="292">
      <c r="A292" s="17" t="inlineStr">
        <is>
          <t>EV-870f64f5a7</t>
        </is>
      </c>
      <c r="B292" s="17" t="inlineStr">
        <is>
          <t>strategic_analysis</t>
        </is>
      </c>
      <c r="C292" s="17" t="inlineStr">
        <is>
          <t>r2</t>
        </is>
      </c>
      <c r="D292" s="18" t="inlineStr">
        <is>
          <t>Os quatro canais de distribuicao previstos sao plataformas de terceiros, e o proprio acervo faz essa correcao terminologica.</t>
        </is>
      </c>
      <c r="E292" s="17" t="inlineStr">
        <is>
          <t>SA-02</t>
        </is>
      </c>
      <c r="F292" s="17" t="inlineStr">
        <is>
          <t>supplier_power</t>
        </is>
      </c>
      <c r="G292" s="17" t="inlineStr">
        <is>
          <t>ECO-08</t>
        </is>
      </c>
      <c r="H292" s="17" t="inlineStr">
        <is>
          <t>DOC-C14-005</t>
        </is>
      </c>
      <c r="I292" s="18" t="inlineStr">
        <is>
          <t>Ecossistema: 'Eu so faria uma correcao terminologica importante: Instagram, YouTube, TikTok e LinkedIn nao sao plataformas proprietarias; sao plataformas alugadas/terceiras'; a arquitetura separa OWNED 01-04 de DISTRIBUICAO 01-04.</t>
        </is>
      </c>
      <c r="J292" s="17" t="inlineStr">
        <is>
          <t>strong</t>
        </is>
      </c>
      <c r="K292" s="17" t="inlineStr">
        <is>
          <t>0.85</t>
        </is>
      </c>
      <c r="L292" s="17" t="inlineStr">
        <is>
          <t>fact</t>
        </is>
      </c>
    </row>
    <row r="293">
      <c r="A293" s="17" t="inlineStr">
        <is>
          <t>EV-d3b3cca6c2</t>
        </is>
      </c>
      <c r="B293" s="17" t="inlineStr">
        <is>
          <t>strategic_analysis</t>
        </is>
      </c>
      <c r="C293" s="17" t="inlineStr">
        <is>
          <t>r2</t>
        </is>
      </c>
      <c r="D293" s="18" t="inlineStr">
        <is>
          <t>Os quatro canais de distribuicao previstos sao plataformas de terceiros, e o proprio acervo faz essa correcao terminologica.</t>
        </is>
      </c>
      <c r="E293" s="17" t="inlineStr">
        <is>
          <t>SA-02</t>
        </is>
      </c>
      <c r="F293" s="17" t="inlineStr">
        <is>
          <t>supplier_power</t>
        </is>
      </c>
      <c r="G293" s="17" t="inlineStr">
        <is>
          <t>ECO-08</t>
        </is>
      </c>
      <c r="H293" s="17" t="inlineStr">
        <is>
          <t>DOC-C14-006</t>
        </is>
      </c>
      <c r="I293" s="18" t="inlineStr">
        <is>
          <t>Ecossistema: 'Eu so faria uma correcao terminologica importante: Instagram, YouTube, TikTok e LinkedIn nao sao plataformas proprietarias; sao plataformas alugadas/terceiras'; a arquitetura separa OWNED 01-04 de DISTRIBUICAO 01-04.</t>
        </is>
      </c>
      <c r="J293" s="17" t="inlineStr">
        <is>
          <t>strong</t>
        </is>
      </c>
      <c r="K293" s="17" t="inlineStr">
        <is>
          <t>0.85</t>
        </is>
      </c>
      <c r="L293" s="17" t="inlineStr">
        <is>
          <t>fact</t>
        </is>
      </c>
    </row>
    <row r="294">
      <c r="A294" s="17" t="inlineStr">
        <is>
          <t>EV-2eb165a9f8</t>
        </is>
      </c>
      <c r="B294" s="17" t="inlineStr">
        <is>
          <t>strategic_analysis</t>
        </is>
      </c>
      <c r="C294" s="17" t="inlineStr">
        <is>
          <t>r2</t>
        </is>
      </c>
      <c r="D294" s="18" t="inlineStr">
        <is>
          <t>A receita de afiliados esta subordinada a uma tabela de comissao de terceiro de 10% sobre livros, sem poder de negociacao.</t>
        </is>
      </c>
      <c r="E294" s="17" t="inlineStr">
        <is>
          <t>SA-02</t>
        </is>
      </c>
      <c r="F294" s="17" t="inlineStr">
        <is>
          <t>channel_power</t>
        </is>
      </c>
      <c r="G294" s="17" t="inlineStr">
        <is>
          <t>ECO-08</t>
        </is>
      </c>
      <c r="H294" s="17" t="inlineStr">
        <is>
          <t>DOC-C05-001</t>
        </is>
      </c>
      <c r="I294" s="18" t="inlineStr">
        <is>
          <t>Ecossistema: 'A Amazon permite monetizar sites, conteudo de redes sociais e aplicativos com Links Especiais rastreados. A tabela padrao atual informa 10% para livros e livros digitais em compras qualificadas.'</t>
        </is>
      </c>
      <c r="J294" s="17" t="inlineStr">
        <is>
          <t>moderate</t>
        </is>
      </c>
      <c r="K294" s="17" t="inlineStr">
        <is>
          <t>0.75</t>
        </is>
      </c>
      <c r="L294" s="17" t="inlineStr">
        <is>
          <t>fact</t>
        </is>
      </c>
    </row>
    <row r="295">
      <c r="A295" s="17" t="inlineStr">
        <is>
          <t>EV-57bcc28098</t>
        </is>
      </c>
      <c r="B295" s="17" t="inlineStr">
        <is>
          <t>strategic_analysis</t>
        </is>
      </c>
      <c r="C295" s="17" t="inlineStr">
        <is>
          <t>r2</t>
        </is>
      </c>
      <c r="D295" s="18" t="inlineStr">
        <is>
          <t>A receita de afiliados esta subordinada a uma tabela de comissao de terceiro de 10% sobre livros, sem poder de negociacao.</t>
        </is>
      </c>
      <c r="E295" s="17" t="inlineStr">
        <is>
          <t>SA-02</t>
        </is>
      </c>
      <c r="F295" s="17" t="inlineStr">
        <is>
          <t>channel_power</t>
        </is>
      </c>
      <c r="G295" s="17" t="inlineStr">
        <is>
          <t>ECO-08</t>
        </is>
      </c>
      <c r="H295" s="17" t="inlineStr">
        <is>
          <t>DOC-C09-018</t>
        </is>
      </c>
      <c r="I295" s="18" t="inlineStr">
        <is>
          <t>Ecossistema: 'A Amazon permite monetizar sites, conteudo de redes sociais e aplicativos com Links Especiais rastreados. A tabela padrao atual informa 10% para livros e livros digitais em compras qualificadas.'</t>
        </is>
      </c>
      <c r="J295" s="17" t="inlineStr">
        <is>
          <t>moderate</t>
        </is>
      </c>
      <c r="K295" s="17" t="inlineStr">
        <is>
          <t>0.75</t>
        </is>
      </c>
      <c r="L295" s="17" t="inlineStr">
        <is>
          <t>fact</t>
        </is>
      </c>
    </row>
    <row r="296">
      <c r="A296" s="17" t="inlineStr">
        <is>
          <t>EV-cb558ef6e4</t>
        </is>
      </c>
      <c r="B296" s="17" t="inlineStr">
        <is>
          <t>strategic_analysis</t>
        </is>
      </c>
      <c r="C296" s="17" t="inlineStr">
        <is>
          <t>r2</t>
        </is>
      </c>
      <c r="D296" s="18" t="inlineStr">
        <is>
          <t>Nao ha analise de barreiras de entrada, concorrentes ou substitutos para a linha de livros no acervo lido.</t>
        </is>
      </c>
      <c r="E296" s="17" t="inlineStr">
        <is>
          <t>SA-02</t>
        </is>
      </c>
      <c r="F296" s="17" t="inlineStr">
        <is>
          <t>new_entrants</t>
        </is>
      </c>
      <c r="G296" s="17" t="inlineStr">
        <is>
          <t>ECO-06</t>
        </is>
      </c>
      <c r="H296" s="17" t="inlineStr">
        <is>
          <t>DOC-C09-011</t>
        </is>
      </c>
      <c r="I296" s="18" t="inlineStr">
        <is>
          <t>DOC-C09-011 traz apenas 'Linha | Papel | Estado' com os tres titulos em 'estruturar cadastro' e uma lista 'Para fechar'; nenhum documento de ECO-06 contem analise competitiva.</t>
        </is>
      </c>
      <c r="J296" s="17" t="inlineStr">
        <is>
          <t>strong</t>
        </is>
      </c>
      <c r="K296" s="17" t="inlineStr">
        <is>
          <t>0.8</t>
        </is>
      </c>
      <c r="L296" s="17" t="inlineStr">
        <is>
          <t>gap</t>
        </is>
      </c>
    </row>
    <row r="297">
      <c r="A297" s="17" t="inlineStr">
        <is>
          <t>EV-c365d4b1f7</t>
        </is>
      </c>
      <c r="B297" s="17" t="inlineStr">
        <is>
          <t>strategic_analysis</t>
        </is>
      </c>
      <c r="C297" s="17" t="inlineStr">
        <is>
          <t>r2</t>
        </is>
      </c>
      <c r="D297" s="18" t="inlineStr">
        <is>
          <t>Nao ha analise de barreiras de entrada, concorrentes ou substitutos para a linha de livros no acervo lido.</t>
        </is>
      </c>
      <c r="E297" s="17" t="inlineStr">
        <is>
          <t>SA-02</t>
        </is>
      </c>
      <c r="F297" s="17" t="inlineStr">
        <is>
          <t>new_entrants</t>
        </is>
      </c>
      <c r="G297" s="17" t="inlineStr">
        <is>
          <t>ECO-06</t>
        </is>
      </c>
      <c r="H297" s="17" t="inlineStr">
        <is>
          <t>DOC-C09-010</t>
        </is>
      </c>
      <c r="I297" s="18" t="inlineStr">
        <is>
          <t>DOC-C09-011 traz apenas 'Linha | Papel | Estado' com os tres titulos em 'estruturar cadastro' e uma lista 'Para fechar'; nenhum documento de ECO-06 contem analise competitiva.</t>
        </is>
      </c>
      <c r="J297" s="17" t="inlineStr">
        <is>
          <t>strong</t>
        </is>
      </c>
      <c r="K297" s="17" t="inlineStr">
        <is>
          <t>0.8</t>
        </is>
      </c>
      <c r="L297" s="17" t="inlineStr">
        <is>
          <t>gap</t>
        </is>
      </c>
    </row>
    <row r="298">
      <c r="A298" s="17" t="inlineStr">
        <is>
          <t>EV-d5b98dcc74</t>
        </is>
      </c>
      <c r="B298" s="17" t="inlineStr">
        <is>
          <t>strategic_analysis</t>
        </is>
      </c>
      <c r="C298" s="17" t="inlineStr">
        <is>
          <t>r2</t>
        </is>
      </c>
      <c r="D298" s="18" t="inlineStr">
        <is>
          <t>O acervo segmenta o setor em quatro categorias competitivas, uma delas sendo diretamente a dos infoprodutores.</t>
        </is>
      </c>
      <c r="E298" s="17" t="inlineStr">
        <is>
          <t>SA-03A</t>
        </is>
      </c>
      <c r="F298" s="17" t="inlineStr">
        <is>
          <t>market_structure</t>
        </is>
      </c>
      <c r="G298" s="17" t="inlineStr">
        <is>
          <t>ECO-05</t>
        </is>
      </c>
      <c r="H298" s="17" t="inlineStr">
        <is>
          <t>DOC-C07-009</t>
        </is>
      </c>
      <c r="I298" s="18" t="inlineStr">
        <is>
          <t>Dashboard QL-0017, tema Concorrencia, subtema Categorias: 'O setor e segmentado em midia/autoridade medica, infoprodutores, comercio eletronico de nicho e instituicoes/clinicas'; acao: 'Comparar proposta e canal por categoria competitiva'.</t>
        </is>
      </c>
      <c r="J298" s="17" t="inlineStr">
        <is>
          <t>moderate</t>
        </is>
      </c>
      <c r="K298" s="17" t="inlineStr">
        <is>
          <t>0.75</t>
        </is>
      </c>
      <c r="L298" s="17" t="inlineStr">
        <is>
          <t>fact</t>
        </is>
      </c>
    </row>
    <row r="299">
      <c r="A299" s="17" t="inlineStr">
        <is>
          <t>EV-963bfffd91</t>
        </is>
      </c>
      <c r="B299" s="17" t="inlineStr">
        <is>
          <t>strategic_analysis</t>
        </is>
      </c>
      <c r="C299" s="17" t="inlineStr">
        <is>
          <t>r2</t>
        </is>
      </c>
      <c r="D299" s="18" t="inlineStr">
        <is>
          <t>A categoria 'comercio eletronico de nicho' e nomeada na segmentacao do setor, mas nenhum documento dimensiona ou caracteriza o mercado de papelaria neuroadaptada.</t>
        </is>
      </c>
      <c r="E299" s="17" t="inlineStr">
        <is>
          <t>SA-03A</t>
        </is>
      </c>
      <c r="F299" s="17" t="inlineStr">
        <is>
          <t>market_structure</t>
        </is>
      </c>
      <c r="G299" s="17" t="inlineStr">
        <is>
          <t>ECO-04</t>
        </is>
      </c>
      <c r="H299" s="17" t="inlineStr">
        <is>
          <t>DOC-C07-009</t>
        </is>
      </c>
      <c r="I299" s="18" t="inlineStr">
        <is>
          <t>Dashboard QL-0017 nomeia 'comercio eletronico de nicho' entre as quatro categorias; nao ha, no acervo lido, nenhum estudo de mercado de papelaria, planners ou organizacao fisica.</t>
        </is>
      </c>
      <c r="J299" s="17" t="inlineStr">
        <is>
          <t>moderate</t>
        </is>
      </c>
      <c r="K299" s="17" t="inlineStr">
        <is>
          <t>0.7</t>
        </is>
      </c>
      <c r="L299" s="17" t="inlineStr">
        <is>
          <t>gap</t>
        </is>
      </c>
    </row>
    <row r="300">
      <c r="A300" s="17" t="inlineStr">
        <is>
          <t>EV-b601ee1910</t>
        </is>
      </c>
      <c r="B300" s="17" t="inlineStr">
        <is>
          <t>strategic_analysis</t>
        </is>
      </c>
      <c r="C300" s="17" t="inlineStr">
        <is>
          <t>r2</t>
        </is>
      </c>
      <c r="D300" s="18" t="inlineStr">
        <is>
          <t>A categoria 'comercio eletronico de nicho' e nomeada na segmentacao do setor, mas nenhum documento dimensiona ou caracteriza o mercado de papelaria neuroadaptada.</t>
        </is>
      </c>
      <c r="E300" s="17" t="inlineStr">
        <is>
          <t>SA-03A</t>
        </is>
      </c>
      <c r="F300" s="17" t="inlineStr">
        <is>
          <t>market_structure</t>
        </is>
      </c>
      <c r="G300" s="17" t="inlineStr">
        <is>
          <t>ECO-04</t>
        </is>
      </c>
      <c r="H300" s="17" t="inlineStr">
        <is>
          <t>DOC-C09-008</t>
        </is>
      </c>
      <c r="I300" s="18" t="inlineStr">
        <is>
          <t>Dashboard QL-0017 nomeia 'comercio eletronico de nicho' entre as quatro categorias; nao ha, no acervo lido, nenhum estudo de mercado de papelaria, planners ou organizacao fisica.</t>
        </is>
      </c>
      <c r="J300" s="17" t="inlineStr">
        <is>
          <t>moderate</t>
        </is>
      </c>
      <c r="K300" s="17" t="inlineStr">
        <is>
          <t>0.7</t>
        </is>
      </c>
      <c r="L300" s="17" t="inlineStr">
        <is>
          <t>gap</t>
        </is>
      </c>
    </row>
    <row r="301">
      <c r="A301" s="17" t="inlineStr">
        <is>
          <t>EV-0ff1bb3599</t>
        </is>
      </c>
      <c r="B301" s="17" t="inlineStr">
        <is>
          <t>strategic_analysis</t>
        </is>
      </c>
      <c r="C301" s="17" t="inlineStr">
        <is>
          <t>r2</t>
        </is>
      </c>
      <c r="D301" s="18" t="inlineStr">
        <is>
          <t>O acervo trata Risco Cognitivo como criacao de categoria editorial antes de mercado, o que inverte a logica usual de estrutura de mercado.</t>
        </is>
      </c>
      <c r="E301" s="17" t="inlineStr">
        <is>
          <t>SA-03A</t>
        </is>
      </c>
      <c r="F301" s="17" t="inlineStr">
        <is>
          <t>market_structure</t>
        </is>
      </c>
      <c r="G301" s="17" t="inlineStr">
        <is>
          <t>ECO-08</t>
        </is>
      </c>
      <c r="H301" s="17" t="inlineStr">
        <is>
          <t>DOC-C02-039</t>
        </is>
      </c>
      <c r="I301" s="18" t="inlineStr">
        <is>
          <t>BMC, Proposta de valor: 'Transformar Risco Cognitivo em uma categoria editorial e investigavel antes de conecta-la ao produto'; Problema: 'Apresentar o EXECUTAR cedo demais pode reduzir a credibilidade da investigacao'.</t>
        </is>
      </c>
      <c r="J301" s="17" t="inlineStr">
        <is>
          <t>strong</t>
        </is>
      </c>
      <c r="K301" s="17" t="inlineStr">
        <is>
          <t>0.85</t>
        </is>
      </c>
      <c r="L301" s="17" t="inlineStr">
        <is>
          <t>fact</t>
        </is>
      </c>
    </row>
    <row r="302">
      <c r="A302" s="17" t="inlineStr">
        <is>
          <t>EV-59110ecfe7</t>
        </is>
      </c>
      <c r="B302" s="17" t="inlineStr">
        <is>
          <t>strategic_analysis</t>
        </is>
      </c>
      <c r="C302" s="17" t="inlineStr">
        <is>
          <t>r2</t>
        </is>
      </c>
      <c r="D302" s="18" t="inlineStr">
        <is>
          <t>O acervo trata Risco Cognitivo como criacao de categoria editorial antes de mercado, o que inverte a logica usual de estrutura de mercado.</t>
        </is>
      </c>
      <c r="E302" s="17" t="inlineStr">
        <is>
          <t>SA-03A</t>
        </is>
      </c>
      <c r="F302" s="17" t="inlineStr">
        <is>
          <t>market_structure</t>
        </is>
      </c>
      <c r="G302" s="17" t="inlineStr">
        <is>
          <t>ECO-08</t>
        </is>
      </c>
      <c r="H302" s="17" t="inlineStr">
        <is>
          <t>DOC-C02-042</t>
        </is>
      </c>
      <c r="I302" s="18" t="inlineStr">
        <is>
          <t>BMC, Proposta de valor: 'Transformar Risco Cognitivo em uma categoria editorial e investigavel antes de conecta-la ao produto'; Problema: 'Apresentar o EXECUTAR cedo demais pode reduzir a credibilidade da investigacao'.</t>
        </is>
      </c>
      <c r="J302" s="17" t="inlineStr">
        <is>
          <t>strong</t>
        </is>
      </c>
      <c r="K302" s="17" t="inlineStr">
        <is>
          <t>0.85</t>
        </is>
      </c>
      <c r="L302" s="17" t="inlineStr">
        <is>
          <t>fact</t>
        </is>
      </c>
    </row>
    <row r="303">
      <c r="A303" s="17" t="inlineStr">
        <is>
          <t>EV-0e30ec04f7</t>
        </is>
      </c>
      <c r="B303" s="17" t="inlineStr">
        <is>
          <t>strategic_analysis</t>
        </is>
      </c>
      <c r="C303" s="17" t="inlineStr">
        <is>
          <t>r2</t>
        </is>
      </c>
      <c r="D303" s="18" t="inlineStr">
        <is>
          <t>Nao existe TAM para esta unidade: o unico TAM do acervo (R$ 5,07 bi) e atribuido ao 'Projeto Neuroexecucao Aplicada' como um todo e tem base amostral nao informada.</t>
        </is>
      </c>
      <c r="E303" s="17" t="inlineStr">
        <is>
          <t>SA-03B</t>
        </is>
      </c>
      <c r="F303" s="17" t="inlineStr">
        <is>
          <t>tam</t>
        </is>
      </c>
      <c r="G303" s="17" t="inlineStr">
        <is>
          <t>ECO-04</t>
        </is>
      </c>
      <c r="H303" s="17" t="inlineStr">
        <is>
          <t>DOC-C07-009</t>
        </is>
      </c>
      <c r="I303" s="18" t="inlineStr">
        <is>
          <t>Dashboard QT-0131: indicador 'TAM estimado', grupo_segmento 'Projeto Neuroexecucao Aplicada', valor_pontual 5070000000.0, unidade R$, geografia Brasil, base_amostral 'Nao informada na imagem', fonte 'Documento Final Unificado: Sintese Estrategica de Neuroexecucao Aplicada'.</t>
        </is>
      </c>
      <c r="J303" s="17" t="inlineStr">
        <is>
          <t>weak</t>
        </is>
      </c>
      <c r="K303" s="17" t="inlineStr">
        <is>
          <t>0.8</t>
        </is>
      </c>
      <c r="L303" s="17" t="inlineStr">
        <is>
          <t>gap</t>
        </is>
      </c>
    </row>
    <row r="304">
      <c r="A304" s="17" t="inlineStr">
        <is>
          <t>EV-0e30ec04f7</t>
        </is>
      </c>
      <c r="B304" s="17" t="inlineStr">
        <is>
          <t>strategic_analysis</t>
        </is>
      </c>
      <c r="C304" s="17" t="inlineStr">
        <is>
          <t>r2</t>
        </is>
      </c>
      <c r="D304" s="18" t="inlineStr">
        <is>
          <t>Nao existe TAM para esta unidade: o unico TAM do acervo (R$ 5,07 bi) e atribuido ao 'Projeto Neuroexecucao Aplicada' como um todo e tem base amostral nao informada.</t>
        </is>
      </c>
      <c r="E304" s="17" t="inlineStr">
        <is>
          <t>SA-03B</t>
        </is>
      </c>
      <c r="F304" s="17" t="inlineStr">
        <is>
          <t>tam</t>
        </is>
      </c>
      <c r="G304" s="17" t="inlineStr">
        <is>
          <t>ECO-05</t>
        </is>
      </c>
      <c r="H304" s="17" t="inlineStr">
        <is>
          <t>DOC-C07-009</t>
        </is>
      </c>
      <c r="I304" s="18" t="inlineStr">
        <is>
          <t>Dashboard QT-0131: indicador 'TAM estimado', grupo_segmento 'Projeto Neuroexecucao Aplicada', valor_pontual 5070000000.0, unidade R$, geografia Brasil, base_amostral 'Nao informada na imagem', fonte 'Documento Final Unificado: Sintese Estrategica de Neuroexecucao Aplicada'.</t>
        </is>
      </c>
      <c r="J304" s="17" t="inlineStr">
        <is>
          <t>weak</t>
        </is>
      </c>
      <c r="K304" s="17" t="inlineStr">
        <is>
          <t>0.8</t>
        </is>
      </c>
      <c r="L304" s="17" t="inlineStr">
        <is>
          <t>gap</t>
        </is>
      </c>
    </row>
    <row r="305">
      <c r="A305" s="17" t="inlineStr">
        <is>
          <t>EV-0e30ec04f7</t>
        </is>
      </c>
      <c r="B305" s="17" t="inlineStr">
        <is>
          <t>strategic_analysis</t>
        </is>
      </c>
      <c r="C305" s="17" t="inlineStr">
        <is>
          <t>r2</t>
        </is>
      </c>
      <c r="D305" s="18" t="inlineStr">
        <is>
          <t>Nao existe TAM para esta unidade: o unico TAM do acervo (R$ 5,07 bi) e atribuido ao 'Projeto Neuroexecucao Aplicada' como um todo e tem base amostral nao informada.</t>
        </is>
      </c>
      <c r="E305" s="17" t="inlineStr">
        <is>
          <t>SA-03B</t>
        </is>
      </c>
      <c r="F305" s="17" t="inlineStr">
        <is>
          <t>tam</t>
        </is>
      </c>
      <c r="G305" s="17" t="inlineStr">
        <is>
          <t>ECO-06</t>
        </is>
      </c>
      <c r="H305" s="17" t="inlineStr">
        <is>
          <t>DOC-C07-009</t>
        </is>
      </c>
      <c r="I305" s="18" t="inlineStr">
        <is>
          <t>Dashboard QT-0131: indicador 'TAM estimado', grupo_segmento 'Projeto Neuroexecucao Aplicada', valor_pontual 5070000000.0, unidade R$, geografia Brasil, base_amostral 'Nao informada na imagem', fonte 'Documento Final Unificado: Sintese Estrategica de Neuroexecucao Aplicada'.</t>
        </is>
      </c>
      <c r="J305" s="17" t="inlineStr">
        <is>
          <t>weak</t>
        </is>
      </c>
      <c r="K305" s="17" t="inlineStr">
        <is>
          <t>0.8</t>
        </is>
      </c>
      <c r="L305" s="17" t="inlineStr">
        <is>
          <t>gap</t>
        </is>
      </c>
    </row>
    <row r="306">
      <c r="A306" s="17" t="inlineStr">
        <is>
          <t>EV-0e30ec04f7</t>
        </is>
      </c>
      <c r="B306" s="17" t="inlineStr">
        <is>
          <t>strategic_analysis</t>
        </is>
      </c>
      <c r="C306" s="17" t="inlineStr">
        <is>
          <t>r2</t>
        </is>
      </c>
      <c r="D306" s="18" t="inlineStr">
        <is>
          <t>Nao existe TAM para esta unidade: o unico TAM do acervo (R$ 5,07 bi) e atribuido ao 'Projeto Neuroexecucao Aplicada' como um todo e tem base amostral nao informada.</t>
        </is>
      </c>
      <c r="E306" s="17" t="inlineStr">
        <is>
          <t>SA-03B</t>
        </is>
      </c>
      <c r="F306" s="17" t="inlineStr">
        <is>
          <t>tam</t>
        </is>
      </c>
      <c r="G306" s="17" t="inlineStr">
        <is>
          <t>ECO-08</t>
        </is>
      </c>
      <c r="H306" s="17" t="inlineStr">
        <is>
          <t>DOC-C07-009</t>
        </is>
      </c>
      <c r="I306" s="18" t="inlineStr">
        <is>
          <t>Dashboard QT-0131: indicador 'TAM estimado', grupo_segmento 'Projeto Neuroexecucao Aplicada', valor_pontual 5070000000.0, unidade R$, geografia Brasil, base_amostral 'Nao informada na imagem', fonte 'Documento Final Unificado: Sintese Estrategica de Neuroexecucao Aplicada'.</t>
        </is>
      </c>
      <c r="J306" s="17" t="inlineStr">
        <is>
          <t>weak</t>
        </is>
      </c>
      <c r="K306" s="17" t="inlineStr">
        <is>
          <t>0.8</t>
        </is>
      </c>
      <c r="L306" s="17" t="inlineStr">
        <is>
          <t>gap</t>
        </is>
      </c>
    </row>
    <row r="307">
      <c r="A307" s="17" t="inlineStr">
        <is>
          <t>EV-2339a71744</t>
        </is>
      </c>
      <c r="B307" s="17" t="inlineStr">
        <is>
          <t>strategic_analysis</t>
        </is>
      </c>
      <c r="C307" s="17" t="inlineStr">
        <is>
          <t>r2</t>
        </is>
      </c>
      <c r="D307" s="18" t="inlineStr">
        <is>
          <t>Nao existe SAM para a linha fisica; o SAM do acervo (R$ 357,3 mi) e do projeto agregado, alem de conflitar com um segundo valor de SAM (R$ 6,0 mi) no mesmo dashboard.</t>
        </is>
      </c>
      <c r="E307" s="17" t="inlineStr">
        <is>
          <t>SA-03C</t>
        </is>
      </c>
      <c r="F307" s="17" t="inlineStr">
        <is>
          <t>sam</t>
        </is>
      </c>
      <c r="G307" s="17" t="inlineStr">
        <is>
          <t>ECO-04</t>
        </is>
      </c>
      <c r="H307" s="17" t="inlineStr">
        <is>
          <t>DOC-C07-009</t>
        </is>
      </c>
      <c r="I307" s="18" t="inlineStr">
        <is>
          <t>Dashboard QT-0132: 'SAM estimado', grupo_segmento 'Projeto Neuroexecucao Aplicada', valor_pontual 357300000.0, base_amostral 'Nao informada na imagem'; ha ainda um registro com indicador 'SAM' e valor_pontual 6000000.0 no mesmo conjunto.</t>
        </is>
      </c>
      <c r="J307" s="17" t="inlineStr">
        <is>
          <t>weak</t>
        </is>
      </c>
      <c r="K307" s="17" t="inlineStr">
        <is>
          <t>0.75</t>
        </is>
      </c>
      <c r="L307" s="17" t="inlineStr">
        <is>
          <t>conflict</t>
        </is>
      </c>
    </row>
    <row r="308">
      <c r="A308" s="17" t="inlineStr">
        <is>
          <t>EV-9d7a066b6c</t>
        </is>
      </c>
      <c r="B308" s="17" t="inlineStr">
        <is>
          <t>strategic_analysis</t>
        </is>
      </c>
      <c r="C308" s="17" t="inlineStr">
        <is>
          <t>r2</t>
        </is>
      </c>
      <c r="D308" s="18" t="inlineStr">
        <is>
          <t>Nao existe SAM da linha de infoprodutos; o benchmark disponivel e de precos praticados por concorrentes, nao de tamanho de mercado.</t>
        </is>
      </c>
      <c r="E308" s="17" t="inlineStr">
        <is>
          <t>SA-03C</t>
        </is>
      </c>
      <c r="F308" s="17" t="inlineStr">
        <is>
          <t>sam</t>
        </is>
      </c>
      <c r="G308" s="17" t="inlineStr">
        <is>
          <t>ECO-05</t>
        </is>
      </c>
      <c r="H308" s="17" t="inlineStr">
        <is>
          <t>DOC-C05-001</t>
        </is>
      </c>
      <c r="I308" s="18" t="inlineStr">
        <is>
          <t>O unico dado de mercado com precos em DOC-C05-001 e a tabela de benchmark de e-books e cursos, sem volume, sem numero de compradores e sem fonte de mercado; os SAMs do dashboard sao do projeto agregado.</t>
        </is>
      </c>
      <c r="J308" s="17" t="inlineStr">
        <is>
          <t>weak</t>
        </is>
      </c>
      <c r="K308" s="17" t="inlineStr">
        <is>
          <t>0.8</t>
        </is>
      </c>
      <c r="L308" s="17" t="inlineStr">
        <is>
          <t>gap</t>
        </is>
      </c>
    </row>
    <row r="309">
      <c r="A309" s="17" t="inlineStr">
        <is>
          <t>EV-45f104ab0d</t>
        </is>
      </c>
      <c r="B309" s="17" t="inlineStr">
        <is>
          <t>strategic_analysis</t>
        </is>
      </c>
      <c r="C309" s="17" t="inlineStr">
        <is>
          <t>r2</t>
        </is>
      </c>
      <c r="D309" s="18" t="inlineStr">
        <is>
          <t>Nao existe SAM da linha de infoprodutos; o benchmark disponivel e de precos praticados por concorrentes, nao de tamanho de mercado.</t>
        </is>
      </c>
      <c r="E309" s="17" t="inlineStr">
        <is>
          <t>SA-03C</t>
        </is>
      </c>
      <c r="F309" s="17" t="inlineStr">
        <is>
          <t>sam</t>
        </is>
      </c>
      <c r="G309" s="17" t="inlineStr">
        <is>
          <t>ECO-05</t>
        </is>
      </c>
      <c r="H309" s="17" t="inlineStr">
        <is>
          <t>DOC-C07-009</t>
        </is>
      </c>
      <c r="I309" s="18" t="inlineStr">
        <is>
          <t>O unico dado de mercado com precos em DOC-C05-001 e a tabela de benchmark de e-books e cursos, sem volume, sem numero de compradores e sem fonte de mercado; os SAMs do dashboard sao do projeto agregado.</t>
        </is>
      </c>
      <c r="J309" s="17" t="inlineStr">
        <is>
          <t>weak</t>
        </is>
      </c>
      <c r="K309" s="17" t="inlineStr">
        <is>
          <t>0.8</t>
        </is>
      </c>
      <c r="L309" s="17" t="inlineStr">
        <is>
          <t>gap</t>
        </is>
      </c>
    </row>
    <row r="310">
      <c r="A310" s="17" t="inlineStr">
        <is>
          <t>EV-e995b6854b</t>
        </is>
      </c>
      <c r="B310" s="17" t="inlineStr">
        <is>
          <t>strategic_analysis</t>
        </is>
      </c>
      <c r="C310" s="17" t="inlineStr">
        <is>
          <t>r2</t>
        </is>
      </c>
      <c r="D310" s="18" t="inlineStr">
        <is>
          <t>Nao ha SOM da linha fisica; a estrategia declarada e justamente medir intencao antes de projetar volume.</t>
        </is>
      </c>
      <c r="E310" s="17" t="inlineStr">
        <is>
          <t>SA-03D</t>
        </is>
      </c>
      <c r="F310" s="17" t="inlineStr">
        <is>
          <t>som</t>
        </is>
      </c>
      <c r="G310" s="17" t="inlineStr">
        <is>
          <t>ECO-04</t>
        </is>
      </c>
      <c r="H310" s="17" t="inlineStr">
        <is>
          <t>DOC-C09-008</t>
        </is>
      </c>
      <c r="I310" s="18" t="inlineStr">
        <is>
          <t>DOC-C09-008, Regra: 'Nao imobilizar estoque relevante antes de validar intencao'; DOC-C05-001, Estrategia de validacao: 'Fase 01 - Intencao | Estoque 0-1 amostra | Pagina completa do produto | Medir cliques, lista de espera, interesse'.</t>
        </is>
      </c>
      <c r="J310" s="17" t="inlineStr">
        <is>
          <t>strong</t>
        </is>
      </c>
      <c r="K310" s="17" t="inlineStr">
        <is>
          <t>0.85</t>
        </is>
      </c>
      <c r="L310" s="17" t="inlineStr">
        <is>
          <t>gap</t>
        </is>
      </c>
    </row>
    <row r="311">
      <c r="A311" s="17" t="inlineStr">
        <is>
          <t>EV-b8bf06cd52</t>
        </is>
      </c>
      <c r="B311" s="17" t="inlineStr">
        <is>
          <t>strategic_analysis</t>
        </is>
      </c>
      <c r="C311" s="17" t="inlineStr">
        <is>
          <t>r2</t>
        </is>
      </c>
      <c r="D311" s="18" t="inlineStr">
        <is>
          <t>Nao ha SOM da linha fisica; a estrategia declarada e justamente medir intencao antes de projetar volume.</t>
        </is>
      </c>
      <c r="E311" s="17" t="inlineStr">
        <is>
          <t>SA-03D</t>
        </is>
      </c>
      <c r="F311" s="17" t="inlineStr">
        <is>
          <t>som</t>
        </is>
      </c>
      <c r="G311" s="17" t="inlineStr">
        <is>
          <t>ECO-04</t>
        </is>
      </c>
      <c r="H311" s="17" t="inlineStr">
        <is>
          <t>DOC-C05-001</t>
        </is>
      </c>
      <c r="I311" s="18" t="inlineStr">
        <is>
          <t>DOC-C09-008, Regra: 'Nao imobilizar estoque relevante antes de validar intencao'; DOC-C05-001, Estrategia de validacao: 'Fase 01 - Intencao | Estoque 0-1 amostra | Pagina completa do produto | Medir cliques, lista de espera, interesse'.</t>
        </is>
      </c>
      <c r="J311" s="17" t="inlineStr">
        <is>
          <t>strong</t>
        </is>
      </c>
      <c r="K311" s="17" t="inlineStr">
        <is>
          <t>0.85</t>
        </is>
      </c>
      <c r="L311" s="17" t="inlineStr">
        <is>
          <t>gap</t>
        </is>
      </c>
    </row>
    <row r="312">
      <c r="A312" s="17" t="inlineStr">
        <is>
          <t>EV-0393cf0753</t>
        </is>
      </c>
      <c r="B312" s="17" t="inlineStr">
        <is>
          <t>strategic_analysis</t>
        </is>
      </c>
      <c r="C312" s="17" t="inlineStr">
        <is>
          <t>r2</t>
        </is>
      </c>
      <c r="D312" s="18" t="inlineStr">
        <is>
          <t>Nao ha SOM de infoprodutos; o SOM de tres anos do acervo (R$ 3,26 mi) e do projeto agregado, com base amostral nao informada.</t>
        </is>
      </c>
      <c r="E312" s="17" t="inlineStr">
        <is>
          <t>SA-03D</t>
        </is>
      </c>
      <c r="F312" s="17" t="inlineStr">
        <is>
          <t>som</t>
        </is>
      </c>
      <c r="G312" s="17" t="inlineStr">
        <is>
          <t>ECO-05</t>
        </is>
      </c>
      <c r="H312" s="17" t="inlineStr">
        <is>
          <t>DOC-C07-009</t>
        </is>
      </c>
      <c r="I312" s="18" t="inlineStr">
        <is>
          <t>Dashboard QT-0133: 'SOM projetado para tres anos', grupo_segmento 'Projeto Neuroexecucao Aplicada', valor_pontual 3260000.0, periodo '3 anos', base_amostral 'Nao informada na imagem'.</t>
        </is>
      </c>
      <c r="J312" s="17" t="inlineStr">
        <is>
          <t>weak</t>
        </is>
      </c>
      <c r="K312" s="17" t="inlineStr">
        <is>
          <t>0.8</t>
        </is>
      </c>
      <c r="L312" s="17" t="inlineStr">
        <is>
          <t>gap</t>
        </is>
      </c>
    </row>
    <row r="313">
      <c r="A313" s="17" t="inlineStr">
        <is>
          <t>EV-8c87136154</t>
        </is>
      </c>
      <c r="B313" s="17" t="inlineStr">
        <is>
          <t>strategic_analysis</t>
        </is>
      </c>
      <c r="C313" s="17" t="inlineStr">
        <is>
          <t>r2</t>
        </is>
      </c>
      <c r="D313" s="18" t="inlineStr">
        <is>
          <t>A referencia visual da biblioteca declara cinco segmentos de catalogo: Adultos, Familias, Kids, Trabalho e Automacoes.</t>
        </is>
      </c>
      <c r="E313" s="17" t="inlineStr">
        <is>
          <t>SA-04A</t>
        </is>
      </c>
      <c r="F313" s="17" t="inlineStr">
        <is>
          <t>segmentation</t>
        </is>
      </c>
      <c r="G313" s="17" t="inlineStr">
        <is>
          <t>ECO-06</t>
        </is>
      </c>
      <c r="H313" s="17" t="inlineStr">
        <is>
          <t>DOC-C13-005</t>
        </is>
      </c>
      <c r="I313" s="18" t="inlineStr">
        <is>
          <t>Referencia visual da biblioteca (mockup 'BIBLIOTECA EXECUTAR / E-BOOKS &amp; CONTEUDOS'): filtros 'Todos | Adultos | Familias | Kids | Trabalho | Automacoes'; capas rotuladas 'Adultos', 'Kids', 'Adultos', 'Familias', 'Automacoes'.</t>
        </is>
      </c>
      <c r="J313" s="17" t="inlineStr">
        <is>
          <t>moderate</t>
        </is>
      </c>
      <c r="K313" s="17" t="inlineStr">
        <is>
          <t>0.75</t>
        </is>
      </c>
      <c r="L313" s="17" t="inlineStr">
        <is>
          <t>fact</t>
        </is>
      </c>
    </row>
    <row r="314">
      <c r="A314" s="17" t="inlineStr">
        <is>
          <t>EV-92ff460aa0</t>
        </is>
      </c>
      <c r="B314" s="17" t="inlineStr">
        <is>
          <t>strategic_analysis</t>
        </is>
      </c>
      <c r="C314" s="17" t="inlineStr">
        <is>
          <t>r2</t>
        </is>
      </c>
      <c r="D314" s="18" t="inlineStr">
        <is>
          <t>A unica segmentacao explicita da linha fisica e de genero, e vem de uma peca visual, nao de documento de oferta.</t>
        </is>
      </c>
      <c r="E314" s="17" t="inlineStr">
        <is>
          <t>SA-04A</t>
        </is>
      </c>
      <c r="F314" s="17" t="inlineStr">
        <is>
          <t>segmentation</t>
        </is>
      </c>
      <c r="G314" s="17" t="inlineStr">
        <is>
          <t>ECO-04</t>
        </is>
      </c>
      <c r="H314" s="17" t="inlineStr">
        <is>
          <t>DOC-C13-009</t>
        </is>
      </c>
      <c r="I314" s="18" t="inlineStr">
        <is>
          <t>Referencia visual de organizacao fisica: mockup 'executar.com/kit-semanal-masculino' com titulo 'Kit Semanal Masculino', 'Organizar - Usar - Lavar' e sacos SEG a DOM; DOC-C09-008 descreve o item apenas como 'Kit de organizacao fisica | rotina por dias'.</t>
        </is>
      </c>
      <c r="J314" s="17" t="inlineStr">
        <is>
          <t>moderate</t>
        </is>
      </c>
      <c r="K314" s="17" t="inlineStr">
        <is>
          <t>0.7</t>
        </is>
      </c>
      <c r="L314" s="17" t="inlineStr">
        <is>
          <t>conflict</t>
        </is>
      </c>
    </row>
    <row r="315">
      <c r="A315" s="17" t="inlineStr">
        <is>
          <t>EV-d0e19a895c</t>
        </is>
      </c>
      <c r="B315" s="17" t="inlineStr">
        <is>
          <t>strategic_analysis</t>
        </is>
      </c>
      <c r="C315" s="17" t="inlineStr">
        <is>
          <t>r2</t>
        </is>
      </c>
      <c r="D315" s="18" t="inlineStr">
        <is>
          <t>A unica segmentacao explicita da linha fisica e de genero, e vem de uma peca visual, nao de documento de oferta.</t>
        </is>
      </c>
      <c r="E315" s="17" t="inlineStr">
        <is>
          <t>SA-04A</t>
        </is>
      </c>
      <c r="F315" s="17" t="inlineStr">
        <is>
          <t>segmentation</t>
        </is>
      </c>
      <c r="G315" s="17" t="inlineStr">
        <is>
          <t>ECO-04</t>
        </is>
      </c>
      <c r="H315" s="17" t="inlineStr">
        <is>
          <t>DOC-C09-008</t>
        </is>
      </c>
      <c r="I315" s="18" t="inlineStr">
        <is>
          <t>Referencia visual de organizacao fisica: mockup 'executar.com/kit-semanal-masculino' com titulo 'Kit Semanal Masculino', 'Organizar - Usar - Lavar' e sacos SEG a DOM; DOC-C09-008 descreve o item apenas como 'Kit de organizacao fisica | rotina por dias'.</t>
        </is>
      </c>
      <c r="J315" s="17" t="inlineStr">
        <is>
          <t>moderate</t>
        </is>
      </c>
      <c r="K315" s="17" t="inlineStr">
        <is>
          <t>0.7</t>
        </is>
      </c>
      <c r="L315" s="17" t="inlineStr">
        <is>
          <t>conflict</t>
        </is>
      </c>
    </row>
    <row r="316">
      <c r="A316" s="17" t="inlineStr">
        <is>
          <t>EV-ea21178614</t>
        </is>
      </c>
      <c r="B316" s="17" t="inlineStr">
        <is>
          <t>strategic_analysis</t>
        </is>
      </c>
      <c r="C316" s="17" t="inlineStr">
        <is>
          <t>r2</t>
        </is>
      </c>
      <c r="D316" s="18" t="inlineStr">
        <is>
          <t>A audiencia-alvo do ecossistema editorial esta definida por interesse tematico, com especialistas em papel de critica e nao de endosso.</t>
        </is>
      </c>
      <c r="E316" s="17" t="inlineStr">
        <is>
          <t>SA-04A</t>
        </is>
      </c>
      <c r="F316" s="17" t="inlineStr">
        <is>
          <t>segmentation</t>
        </is>
      </c>
      <c r="G316" s="17" t="inlineStr">
        <is>
          <t>ECO-08</t>
        </is>
      </c>
      <c r="H316" s="17" t="inlineStr">
        <is>
          <t>DOC-C02-039</t>
        </is>
      </c>
      <c r="I316" s="18" t="inlineStr">
        <is>
          <t>BMC, Publico/validacao: 'Leitores interessados em funcoes executivas, neurodivergencia, trabalho, projetos e risco; especialistas entram como critica externa, nao como endosso'.</t>
        </is>
      </c>
      <c r="J316" s="17" t="inlineStr">
        <is>
          <t>strong</t>
        </is>
      </c>
      <c r="K316" s="17" t="inlineStr">
        <is>
          <t>0.85</t>
        </is>
      </c>
      <c r="L316" s="17" t="inlineStr">
        <is>
          <t>fact</t>
        </is>
      </c>
    </row>
    <row r="317">
      <c r="A317" s="17" t="inlineStr">
        <is>
          <t>EV-f3a20e68ff</t>
        </is>
      </c>
      <c r="B317" s="17" t="inlineStr">
        <is>
          <t>strategic_analysis</t>
        </is>
      </c>
      <c r="C317" s="17" t="inlineStr">
        <is>
          <t>r2</t>
        </is>
      </c>
      <c r="D317" s="18" t="inlineStr">
        <is>
          <t>Nao existe ICP proprio da linha fisica; o unico perfil detalhado do acervo e o do usuario do aplicativo e nao pode ser herdado.</t>
        </is>
      </c>
      <c r="E317" s="17" t="inlineStr">
        <is>
          <t>SA-04B</t>
        </is>
      </c>
      <c r="F317" s="17" t="inlineStr">
        <is>
          <t>icp</t>
        </is>
      </c>
      <c r="G317" s="17" t="inlineStr">
        <is>
          <t>ECO-04</t>
        </is>
      </c>
      <c r="H317" s="17" t="inlineStr">
        <is>
          <t>DOC-C05-001</t>
        </is>
      </c>
      <c r="I317" s="18" t="inlineStr">
        <is>
          <t>O perfil detalhado em DOC-C05-001 ('Homens, adultos, neurodivergentes, autonomos, na faixa dos 25-35 anos, recem-diagnosticados...') esta na secao Publico do Master Index do produto de software; DOC-C09-008 nao define comprador.</t>
        </is>
      </c>
      <c r="J317" s="17" t="inlineStr">
        <is>
          <t>moderate</t>
        </is>
      </c>
      <c r="K317" s="17" t="inlineStr">
        <is>
          <t>0.8</t>
        </is>
      </c>
      <c r="L317" s="17" t="inlineStr">
        <is>
          <t>gap</t>
        </is>
      </c>
    </row>
    <row r="318">
      <c r="A318" s="17" t="inlineStr">
        <is>
          <t>EV-6a1efb487a</t>
        </is>
      </c>
      <c r="B318" s="17" t="inlineStr">
        <is>
          <t>strategic_analysis</t>
        </is>
      </c>
      <c r="C318" s="17" t="inlineStr">
        <is>
          <t>r2</t>
        </is>
      </c>
      <c r="D318" s="18" t="inlineStr">
        <is>
          <t>Nao existe ICP proprio da linha fisica; o unico perfil detalhado do acervo e o do usuario do aplicativo e nao pode ser herdado.</t>
        </is>
      </c>
      <c r="E318" s="17" t="inlineStr">
        <is>
          <t>SA-04B</t>
        </is>
      </c>
      <c r="F318" s="17" t="inlineStr">
        <is>
          <t>icp</t>
        </is>
      </c>
      <c r="G318" s="17" t="inlineStr">
        <is>
          <t>ECO-04</t>
        </is>
      </c>
      <c r="H318" s="17" t="inlineStr">
        <is>
          <t>DOC-C09-008</t>
        </is>
      </c>
      <c r="I318" s="18" t="inlineStr">
        <is>
          <t>O perfil detalhado em DOC-C05-001 ('Homens, adultos, neurodivergentes, autonomos, na faixa dos 25-35 anos, recem-diagnosticados...') esta na secao Publico do Master Index do produto de software; DOC-C09-008 nao define comprador.</t>
        </is>
      </c>
      <c r="J318" s="17" t="inlineStr">
        <is>
          <t>moderate</t>
        </is>
      </c>
      <c r="K318" s="17" t="inlineStr">
        <is>
          <t>0.8</t>
        </is>
      </c>
      <c r="L318" s="17" t="inlineStr">
        <is>
          <t>gap</t>
        </is>
      </c>
    </row>
    <row r="319">
      <c r="A319" s="17" t="inlineStr">
        <is>
          <t>EV-3a69ea53f1</t>
        </is>
      </c>
      <c r="B319" s="17" t="inlineStr">
        <is>
          <t>strategic_analysis</t>
        </is>
      </c>
      <c r="C319" s="17" t="inlineStr">
        <is>
          <t>r2</t>
        </is>
      </c>
      <c r="D319" s="18" t="inlineStr">
        <is>
          <t>Nao existe ICP proprio do infoproduto; o curso e definido por estrutura (4 modulos) e nao por comprador.</t>
        </is>
      </c>
      <c r="E319" s="17" t="inlineStr">
        <is>
          <t>SA-04B</t>
        </is>
      </c>
      <c r="F319" s="17" t="inlineStr">
        <is>
          <t>icp</t>
        </is>
      </c>
      <c r="G319" s="17" t="inlineStr">
        <is>
          <t>ECO-05</t>
        </is>
      </c>
      <c r="H319" s="17" t="inlineStr">
        <is>
          <t>DOC-C09-013</t>
        </is>
      </c>
      <c r="I319" s="18" t="inlineStr">
        <is>
          <t>DOC-C09-013 traz apenas 'Estrutura: 4 modulos: Entender, Estruturar, Executar, Evoluir' e a lista 'Para fechar no lancamento: descricao e promessa; estrutura dos modulos; condicao de lancamento; pagina/cadastro; chamada CH-005'.</t>
        </is>
      </c>
      <c r="J319" s="17" t="inlineStr">
        <is>
          <t>strong</t>
        </is>
      </c>
      <c r="K319" s="17" t="inlineStr">
        <is>
          <t>0.8</t>
        </is>
      </c>
      <c r="L319" s="17" t="inlineStr">
        <is>
          <t>gap</t>
        </is>
      </c>
    </row>
    <row r="320">
      <c r="A320" s="17" t="inlineStr">
        <is>
          <t>EV-aabd79dafb</t>
        </is>
      </c>
      <c r="B320" s="17" t="inlineStr">
        <is>
          <t>strategic_analysis</t>
        </is>
      </c>
      <c r="C320" s="17" t="inlineStr">
        <is>
          <t>r2</t>
        </is>
      </c>
      <c r="D320" s="18" t="inlineStr">
        <is>
          <t>Nao existe ICP proprio do infoproduto; o curso e definido por estrutura (4 modulos) e nao por comprador.</t>
        </is>
      </c>
      <c r="E320" s="17" t="inlineStr">
        <is>
          <t>SA-04B</t>
        </is>
      </c>
      <c r="F320" s="17" t="inlineStr">
        <is>
          <t>icp</t>
        </is>
      </c>
      <c r="G320" s="17" t="inlineStr">
        <is>
          <t>ECO-05</t>
        </is>
      </c>
      <c r="H320" s="17" t="inlineStr">
        <is>
          <t>DOC-C09-016</t>
        </is>
      </c>
      <c r="I320" s="18" t="inlineStr">
        <is>
          <t>DOC-C09-013 traz apenas 'Estrutura: 4 modulos: Entender, Estruturar, Executar, Evoluir' e a lista 'Para fechar no lancamento: descricao e promessa; estrutura dos modulos; condicao de lancamento; pagina/cadastro; chamada CH-005'.</t>
        </is>
      </c>
      <c r="J320" s="17" t="inlineStr">
        <is>
          <t>strong</t>
        </is>
      </c>
      <c r="K320" s="17" t="inlineStr">
        <is>
          <t>0.8</t>
        </is>
      </c>
      <c r="L320" s="17" t="inlineStr">
        <is>
          <t>gap</t>
        </is>
      </c>
    </row>
    <row r="321">
      <c r="A321" s="17" t="inlineStr">
        <is>
          <t>EV-411c48e4d2</t>
        </is>
      </c>
      <c r="B321" s="17" t="inlineStr">
        <is>
          <t>strategic_analysis</t>
        </is>
      </c>
      <c r="C321" s="17" t="inlineStr">
        <is>
          <t>r2</t>
        </is>
      </c>
      <c r="D321" s="18" t="inlineStr">
        <is>
          <t>O acervo registra como lacuna a ausencia de confirmacao de disposicao a pagar do publico-alvo para minicurso e kit fisico.</t>
        </is>
      </c>
      <c r="E321" s="17" t="inlineStr">
        <is>
          <t>SA-04B</t>
        </is>
      </c>
      <c r="F321" s="17" t="inlineStr">
        <is>
          <t>icp</t>
        </is>
      </c>
      <c r="G321" s="17" t="inlineStr">
        <is>
          <t>ECO-08</t>
        </is>
      </c>
      <c r="H321" s="17" t="inlineStr">
        <is>
          <t>DOC-C07-009</t>
        </is>
      </c>
      <c r="I321" s="18" t="inlineStr">
        <is>
          <t>Dashboard QL-000059, subtema 'Lacuna de disposicao de pagamento': 'O documento identifica como lacuna a ausencia de confirmacao sobre a disposicao real do publico-alvo em pagar pela solucao proposta (minicurso e kit fisico), apontando isso como algo a validar antes de escalar'; acao: 'Desenhar experimento especifico de venda/pre-venda antes de investir'.</t>
        </is>
      </c>
      <c r="J321" s="17" t="inlineStr">
        <is>
          <t>strong</t>
        </is>
      </c>
      <c r="K321" s="17" t="inlineStr">
        <is>
          <t>0.85</t>
        </is>
      </c>
      <c r="L321" s="17" t="inlineStr">
        <is>
          <t>gap</t>
        </is>
      </c>
    </row>
    <row r="322">
      <c r="A322" s="17" t="inlineStr">
        <is>
          <t>EV-c1a78c5da9</t>
        </is>
      </c>
      <c r="B322" s="17" t="inlineStr">
        <is>
          <t>strategic_analysis</t>
        </is>
      </c>
      <c r="C322" s="17" t="inlineStr">
        <is>
          <t>r2</t>
        </is>
      </c>
      <c r="D322" s="18" t="inlineStr">
        <is>
          <t>Cada SKU fisico tem uma funcao declarada dentro de um sistema, o que da a linha uma taxonomia de jobs em vez de um catalogo de objetos.</t>
        </is>
      </c>
      <c r="E322" s="17" t="inlineStr">
        <is>
          <t>SA-04C</t>
        </is>
      </c>
      <c r="F322" s="17" t="inlineStr">
        <is>
          <t>jtbd</t>
        </is>
      </c>
      <c r="G322" s="17" t="inlineStr">
        <is>
          <t>ECO-04</t>
        </is>
      </c>
      <c r="H322" s="17" t="inlineStr">
        <is>
          <t>DOC-C05-001</t>
        </is>
      </c>
      <c r="I322" s="18" t="inlineStr">
        <is>
          <t>Ecossistema: 'Neurobook = planejar e registrar, Timer = executar, Organizacao = reduzir decisoes cotidianas, Office Kit = sistema integrado'; e 'nao vender uma colecao de objetos, mas mostrar que cada objeto ocupa uma funcao dentro de um sistema'.</t>
        </is>
      </c>
      <c r="J322" s="17" t="inlineStr">
        <is>
          <t>strong</t>
        </is>
      </c>
      <c r="K322" s="17" t="inlineStr">
        <is>
          <t>0.85</t>
        </is>
      </c>
      <c r="L322" s="17" t="inlineStr">
        <is>
          <t>fact</t>
        </is>
      </c>
    </row>
    <row r="323">
      <c r="A323" s="17" t="inlineStr">
        <is>
          <t>EV-235df76593</t>
        </is>
      </c>
      <c r="B323" s="17" t="inlineStr">
        <is>
          <t>strategic_analysis</t>
        </is>
      </c>
      <c r="C323" s="17" t="inlineStr">
        <is>
          <t>r2</t>
        </is>
      </c>
      <c r="D323" s="18" t="inlineStr">
        <is>
          <t>Cada SKU fisico tem uma funcao declarada dentro de um sistema, o que da a linha uma taxonomia de jobs em vez de um catalogo de objetos.</t>
        </is>
      </c>
      <c r="E323" s="17" t="inlineStr">
        <is>
          <t>SA-04C</t>
        </is>
      </c>
      <c r="F323" s="17" t="inlineStr">
        <is>
          <t>jtbd</t>
        </is>
      </c>
      <c r="G323" s="17" t="inlineStr">
        <is>
          <t>ECO-04</t>
        </is>
      </c>
      <c r="H323" s="17" t="inlineStr">
        <is>
          <t>DOC-C09-008</t>
        </is>
      </c>
      <c r="I323" s="18" t="inlineStr">
        <is>
          <t>Ecossistema: 'Neurobook = planejar e registrar, Timer = executar, Organizacao = reduzir decisoes cotidianas, Office Kit = sistema integrado'; e 'nao vender uma colecao de objetos, mas mostrar que cada objeto ocupa uma funcao dentro de um sistema'.</t>
        </is>
      </c>
      <c r="J323" s="17" t="inlineStr">
        <is>
          <t>strong</t>
        </is>
      </c>
      <c r="K323" s="17" t="inlineStr">
        <is>
          <t>0.85</t>
        </is>
      </c>
      <c r="L323" s="17" t="inlineStr">
        <is>
          <t>fact</t>
        </is>
      </c>
    </row>
    <row r="324">
      <c r="A324" s="17" t="inlineStr">
        <is>
          <t>EV-fb26e5959b</t>
        </is>
      </c>
      <c r="B324" s="17" t="inlineStr">
        <is>
          <t>strategic_analysis</t>
        </is>
      </c>
      <c r="C324" s="17" t="inlineStr">
        <is>
          <t>r2</t>
        </is>
      </c>
      <c r="D324" s="18" t="inlineStr">
        <is>
          <t>O 4E organiza os jobs do infoproduto como quatro perguntas do usuario, o que da criterio para decidir o que entra em cada modulo.</t>
        </is>
      </c>
      <c r="E324" s="17" t="inlineStr">
        <is>
          <t>SA-04C</t>
        </is>
      </c>
      <c r="F324" s="17" t="inlineStr">
        <is>
          <t>jtbd</t>
        </is>
      </c>
      <c r="G324" s="17" t="inlineStr">
        <is>
          <t>ECO-05</t>
        </is>
      </c>
      <c r="H324" s="17" t="inlineStr">
        <is>
          <t>DOC-C05-001</t>
        </is>
      </c>
      <c r="I324" s="18" t="inlineStr">
        <is>
          <t>Ecossistema, Espinha editorial 4E: 'E1 ENTENDER - O que esta acontecendo e por que? | E2 ESTRUTURAR - O que preciso mudar no ambiente ou sistema? | E3 EXECUTAR - O que faco concretamente agora? | E4 EVOLUIR - Como sei se funcionou e o que ajusto?'.</t>
        </is>
      </c>
      <c r="J324" s="17" t="inlineStr">
        <is>
          <t>strong</t>
        </is>
      </c>
      <c r="K324" s="17" t="inlineStr">
        <is>
          <t>0.9</t>
        </is>
      </c>
      <c r="L324" s="17" t="inlineStr">
        <is>
          <t>fact</t>
        </is>
      </c>
    </row>
    <row r="325">
      <c r="A325" s="17" t="inlineStr">
        <is>
          <t>EV-a3894ac595</t>
        </is>
      </c>
      <c r="B325" s="17" t="inlineStr">
        <is>
          <t>strategic_analysis</t>
        </is>
      </c>
      <c r="C325" s="17" t="inlineStr">
        <is>
          <t>r2</t>
        </is>
      </c>
      <c r="D325" s="18" t="inlineStr">
        <is>
          <t>O 4E organiza os jobs do infoproduto como quatro perguntas do usuario, o que da criterio para decidir o que entra em cada modulo.</t>
        </is>
      </c>
      <c r="E325" s="17" t="inlineStr">
        <is>
          <t>SA-04C</t>
        </is>
      </c>
      <c r="F325" s="17" t="inlineStr">
        <is>
          <t>jtbd</t>
        </is>
      </c>
      <c r="G325" s="17" t="inlineStr">
        <is>
          <t>ECO-05</t>
        </is>
      </c>
      <c r="H325" s="17" t="inlineStr">
        <is>
          <t>DOC-C09-016</t>
        </is>
      </c>
      <c r="I325" s="18" t="inlineStr">
        <is>
          <t>Ecossistema, Espinha editorial 4E: 'E1 ENTENDER - O que esta acontecendo e por que? | E2 ESTRUTURAR - O que preciso mudar no ambiente ou sistema? | E3 EXECUTAR - O que faco concretamente agora? | E4 EVOLUIR - Como sei se funcionou e o que ajusto?'.</t>
        </is>
      </c>
      <c r="J325" s="17" t="inlineStr">
        <is>
          <t>strong</t>
        </is>
      </c>
      <c r="K325" s="17" t="inlineStr">
        <is>
          <t>0.9</t>
        </is>
      </c>
      <c r="L325" s="17" t="inlineStr">
        <is>
          <t>fact</t>
        </is>
      </c>
    </row>
    <row r="326">
      <c r="A326" s="17" t="inlineStr">
        <is>
          <t>EV-ad3421e43c</t>
        </is>
      </c>
      <c r="B326" s="17" t="inlineStr">
        <is>
          <t>strategic_analysis</t>
        </is>
      </c>
      <c r="C326" s="17" t="inlineStr">
        <is>
          <t>r2</t>
        </is>
      </c>
      <c r="D326" s="18" t="inlineStr">
        <is>
          <t>O livro digital de entrada declara uma promessa editorial em quatro movimentos que funciona como job to be done do leitor.</t>
        </is>
      </c>
      <c r="E326" s="17" t="inlineStr">
        <is>
          <t>SA-04C</t>
        </is>
      </c>
      <c r="F326" s="17" t="inlineStr">
        <is>
          <t>jtbd</t>
        </is>
      </c>
      <c r="G326" s="17" t="inlineStr">
        <is>
          <t>ECO-06</t>
        </is>
      </c>
      <c r="H326" s="17" t="inlineStr">
        <is>
          <t>DOC-C05-001</t>
        </is>
      </c>
      <c r="I326" s="18" t="inlineStr">
        <is>
          <t>Ecossistema, I1 Aplicando o TDAH Adulto: 'Promessa editorial: Entendi o problema, montei uma estrutura, apliquei, aprendi o que funciona para mim.'</t>
        </is>
      </c>
      <c r="J326" s="17" t="inlineStr">
        <is>
          <t>strong</t>
        </is>
      </c>
      <c r="K326" s="17" t="inlineStr">
        <is>
          <t>0.85</t>
        </is>
      </c>
      <c r="L326" s="17" t="inlineStr">
        <is>
          <t>fact</t>
        </is>
      </c>
    </row>
    <row r="327">
      <c r="A327" s="17" t="inlineStr">
        <is>
          <t>EV-727f4b9803</t>
        </is>
      </c>
      <c r="B327" s="17" t="inlineStr">
        <is>
          <t>strategic_analysis</t>
        </is>
      </c>
      <c r="C327" s="17" t="inlineStr">
        <is>
          <t>r2</t>
        </is>
      </c>
      <c r="D327" s="18" t="inlineStr">
        <is>
          <t>O livro digital de entrada declara uma promessa editorial em quatro movimentos que funciona como job to be done do leitor.</t>
        </is>
      </c>
      <c r="E327" s="17" t="inlineStr">
        <is>
          <t>SA-04C</t>
        </is>
      </c>
      <c r="F327" s="17" t="inlineStr">
        <is>
          <t>jtbd</t>
        </is>
      </c>
      <c r="G327" s="17" t="inlineStr">
        <is>
          <t>ECO-06</t>
        </is>
      </c>
      <c r="H327" s="17" t="inlineStr">
        <is>
          <t>DOC-C09-011</t>
        </is>
      </c>
      <c r="I327" s="18" t="inlineStr">
        <is>
          <t>Ecossistema, I1 Aplicando o TDAH Adulto: 'Promessa editorial: Entendi o problema, montei uma estrutura, apliquei, aprendi o que funciona para mim.'</t>
        </is>
      </c>
      <c r="J327" s="17" t="inlineStr">
        <is>
          <t>strong</t>
        </is>
      </c>
      <c r="K327" s="17" t="inlineStr">
        <is>
          <t>0.85</t>
        </is>
      </c>
      <c r="L327" s="17" t="inlineStr">
        <is>
          <t>fact</t>
        </is>
      </c>
    </row>
    <row r="328">
      <c r="A328" s="17" t="inlineStr">
        <is>
          <t>EV-8151a802ef</t>
        </is>
      </c>
      <c r="B328" s="17" t="inlineStr">
        <is>
          <t>strategic_analysis</t>
        </is>
      </c>
      <c r="C328" s="17" t="inlineStr">
        <is>
          <t>r2</t>
        </is>
      </c>
      <c r="D328" s="18" t="inlineStr">
        <is>
          <t>A CTA de cada peca e determinada pelo nivel de consciencia do leitor, com regras explicitas do que nao empurrar.</t>
        </is>
      </c>
      <c r="E328" s="17" t="inlineStr">
        <is>
          <t>SA-04C</t>
        </is>
      </c>
      <c r="F328" s="17" t="inlineStr">
        <is>
          <t>jtbd</t>
        </is>
      </c>
      <c r="G328" s="17" t="inlineStr">
        <is>
          <t>ECO-08</t>
        </is>
      </c>
      <c r="H328" s="17" t="inlineStr">
        <is>
          <t>DOC-C05-001</t>
        </is>
      </c>
      <c r="I328" s="18" t="inlineStr">
        <is>
          <t>Ecossistema, 'CTA por nivel de consciencia': 'Baixa - nao empurre Produto - CTA Entenda o que esta acontecendo | Problema - nao empurre Servico - Veja como isso funciona na pratica | Solucao - nao empurre Venda agressiva - Baixar o guia / ver o tutorial | Metodo - Aplicar com o e-book / curso | Alta intencao - Experimentar Executar / conhecer Studio'.</t>
        </is>
      </c>
      <c r="J328" s="17" t="inlineStr">
        <is>
          <t>strong</t>
        </is>
      </c>
      <c r="K328" s="17" t="inlineStr">
        <is>
          <t>0.85</t>
        </is>
      </c>
      <c r="L328" s="17" t="inlineStr">
        <is>
          <t>fact</t>
        </is>
      </c>
    </row>
    <row r="329">
      <c r="A329" s="17" t="inlineStr">
        <is>
          <t>EV-f3d3dad122</t>
        </is>
      </c>
      <c r="B329" s="17" t="inlineStr">
        <is>
          <t>strategic_analysis</t>
        </is>
      </c>
      <c r="C329" s="17" t="inlineStr">
        <is>
          <t>r2</t>
        </is>
      </c>
      <c r="D329" s="18" t="inlineStr">
        <is>
          <t>Nao existe nenhuma fala, entrevista ou pesquisa de cliente sobre produtos fisicos no acervo lido.</t>
        </is>
      </c>
      <c r="E329" s="17" t="inlineStr">
        <is>
          <t>SA-04D</t>
        </is>
      </c>
      <c r="F329" s="17" t="inlineStr">
        <is>
          <t>voice_of_customer</t>
        </is>
      </c>
      <c r="G329" s="17" t="inlineStr">
        <is>
          <t>ECO-04</t>
        </is>
      </c>
      <c r="H329" s="17" t="inlineStr">
        <is>
          <t>DOC-C05-001</t>
        </is>
      </c>
      <c r="I329" s="18" t="inlineStr">
        <is>
          <t>As unicas falas em primeira pessoa do acervo estao no Master Index do aplicativo em DOC-C05-001 e tratam de uso de app, nao de papelaria; DOC-C09-008 e DOC-C13-004 nao contem voz de cliente.</t>
        </is>
      </c>
      <c r="J329" s="17" t="inlineStr">
        <is>
          <t>strong</t>
        </is>
      </c>
      <c r="K329" s="17" t="inlineStr">
        <is>
          <t>0.8</t>
        </is>
      </c>
      <c r="L329" s="17" t="inlineStr">
        <is>
          <t>gap</t>
        </is>
      </c>
    </row>
    <row r="330">
      <c r="A330" s="17" t="inlineStr">
        <is>
          <t>EV-d8eb434626</t>
        </is>
      </c>
      <c r="B330" s="17" t="inlineStr">
        <is>
          <t>strategic_analysis</t>
        </is>
      </c>
      <c r="C330" s="17" t="inlineStr">
        <is>
          <t>r2</t>
        </is>
      </c>
      <c r="D330" s="18" t="inlineStr">
        <is>
          <t>Nao existe nenhuma fala, entrevista ou pesquisa de cliente sobre produtos fisicos no acervo lido.</t>
        </is>
      </c>
      <c r="E330" s="17" t="inlineStr">
        <is>
          <t>SA-04D</t>
        </is>
      </c>
      <c r="F330" s="17" t="inlineStr">
        <is>
          <t>voice_of_customer</t>
        </is>
      </c>
      <c r="G330" s="17" t="inlineStr">
        <is>
          <t>ECO-04</t>
        </is>
      </c>
      <c r="H330" s="17" t="inlineStr">
        <is>
          <t>DOC-C09-008</t>
        </is>
      </c>
      <c r="I330" s="18" t="inlineStr">
        <is>
          <t>As unicas falas em primeira pessoa do acervo estao no Master Index do aplicativo em DOC-C05-001 e tratam de uso de app, nao de papelaria; DOC-C09-008 e DOC-C13-004 nao contem voz de cliente.</t>
        </is>
      </c>
      <c r="J330" s="17" t="inlineStr">
        <is>
          <t>strong</t>
        </is>
      </c>
      <c r="K330" s="17" t="inlineStr">
        <is>
          <t>0.8</t>
        </is>
      </c>
      <c r="L330" s="17" t="inlineStr">
        <is>
          <t>gap</t>
        </is>
      </c>
    </row>
    <row r="331">
      <c r="A331" s="17" t="inlineStr">
        <is>
          <t>EV-192bc1f87a</t>
        </is>
      </c>
      <c r="B331" s="17" t="inlineStr">
        <is>
          <t>strategic_analysis</t>
        </is>
      </c>
      <c r="C331" s="17" t="inlineStr">
        <is>
          <t>r2</t>
        </is>
      </c>
      <c r="D331" s="18" t="inlineStr">
        <is>
          <t>Nao existe nenhuma fala, entrevista ou pesquisa de cliente sobre produtos fisicos no acervo lido.</t>
        </is>
      </c>
      <c r="E331" s="17" t="inlineStr">
        <is>
          <t>SA-04D</t>
        </is>
      </c>
      <c r="F331" s="17" t="inlineStr">
        <is>
          <t>voice_of_customer</t>
        </is>
      </c>
      <c r="G331" s="17" t="inlineStr">
        <is>
          <t>ECO-04</t>
        </is>
      </c>
      <c r="H331" s="17" t="inlineStr">
        <is>
          <t>DOC-C13-004</t>
        </is>
      </c>
      <c r="I331" s="18" t="inlineStr">
        <is>
          <t>As unicas falas em primeira pessoa do acervo estao no Master Index do aplicativo em DOC-C05-001 e tratam de uso de app, nao de papelaria; DOC-C09-008 e DOC-C13-004 nao contem voz de cliente.</t>
        </is>
      </c>
      <c r="J331" s="17" t="inlineStr">
        <is>
          <t>strong</t>
        </is>
      </c>
      <c r="K331" s="17" t="inlineStr">
        <is>
          <t>0.8</t>
        </is>
      </c>
      <c r="L331" s="17" t="inlineStr">
        <is>
          <t>gap</t>
        </is>
      </c>
    </row>
    <row r="332">
      <c r="A332" s="17" t="inlineStr">
        <is>
          <t>EV-9c3870d396</t>
        </is>
      </c>
      <c r="B332" s="17" t="inlineStr">
        <is>
          <t>strategic_analysis</t>
        </is>
      </c>
      <c r="C332" s="17" t="inlineStr">
        <is>
          <t>r2</t>
        </is>
      </c>
      <c r="D332" s="18" t="inlineStr">
        <is>
          <t>Nao existe voz de cliente sobre infoprodutos; as decisoes de formato e preco vieram de benchmark de mercado e de literatura de aprendizagem.</t>
        </is>
      </c>
      <c r="E332" s="17" t="inlineStr">
        <is>
          <t>SA-04D</t>
        </is>
      </c>
      <c r="F332" s="17" t="inlineStr">
        <is>
          <t>voice_of_customer</t>
        </is>
      </c>
      <c r="G332" s="17" t="inlineStr">
        <is>
          <t>ECO-05</t>
        </is>
      </c>
      <c r="H332" s="17" t="inlineStr">
        <is>
          <t>DOC-C05-001</t>
        </is>
      </c>
      <c r="I332" s="18" t="inlineStr">
        <is>
          <t>DOC-C05-001 sustenta o desenho do e-book em 'pesquisa de aprendizagem multimidia', 'retrieval practice' e 'acessibilidade cognitiva do W3C', e o preco em benchmark de ofertas concorrentes; nenhuma fala de comprador aparece.</t>
        </is>
      </c>
      <c r="J332" s="17" t="inlineStr">
        <is>
          <t>moderate</t>
        </is>
      </c>
      <c r="K332" s="17" t="inlineStr">
        <is>
          <t>0.75</t>
        </is>
      </c>
      <c r="L332" s="17" t="inlineStr">
        <is>
          <t>gap</t>
        </is>
      </c>
    </row>
    <row r="333">
      <c r="A333" s="17" t="inlineStr">
        <is>
          <t>EV-b2054fe5cd</t>
        </is>
      </c>
      <c r="B333" s="17" t="inlineStr">
        <is>
          <t>strategic_analysis</t>
        </is>
      </c>
      <c r="C333" s="17" t="inlineStr">
        <is>
          <t>r2</t>
        </is>
      </c>
      <c r="D333" s="18" t="inlineStr">
        <is>
          <t>A unica lista estruturada de interlocutores externos e de especialistas para critica do framework, nao de clientes.</t>
        </is>
      </c>
      <c r="E333" s="17" t="inlineStr">
        <is>
          <t>SA-04D</t>
        </is>
      </c>
      <c r="F333" s="17" t="inlineStr">
        <is>
          <t>voice_of_customer</t>
        </is>
      </c>
      <c r="G333" s="17" t="inlineStr">
        <is>
          <t>ECO-08</t>
        </is>
      </c>
      <c r="H333" s="17" t="inlineStr">
        <is>
          <t>DOC-C02-029</t>
        </is>
      </c>
      <c r="I333" s="18" t="inlineStr">
        <is>
          <t>RISCO_COGNITIVO_CONTACTS.csv, 10 registros RC-CON-001 a RC-CON-010 com colunas NOME, AREA, POR_QUE_RELEVANTE, CONTATO_PUBLICO, ABORDAGEM_RECOMENDADA; ex.: RC-CON-001 'Russell A. Barkley, PhD' com 'Pedir orientacao bibliografica/criticar a conexao EF a risco de execucao, sem pedir validacao clinica'.</t>
        </is>
      </c>
      <c r="J333" s="17" t="inlineStr">
        <is>
          <t>strong</t>
        </is>
      </c>
      <c r="K333" s="17" t="inlineStr">
        <is>
          <t>0.9</t>
        </is>
      </c>
      <c r="L333" s="17" t="inlineStr">
        <is>
          <t>fact</t>
        </is>
      </c>
    </row>
    <row r="334">
      <c r="A334" s="17" t="inlineStr">
        <is>
          <t>EV-781cbf914a</t>
        </is>
      </c>
      <c r="B334" s="17" t="inlineStr">
        <is>
          <t>strategic_analysis</t>
        </is>
      </c>
      <c r="C334" s="17" t="inlineStr">
        <is>
          <t>r2</t>
        </is>
      </c>
      <c r="D334" s="18" t="inlineStr">
        <is>
          <t>A abordagem aos especialistas esta desenhada para falsificar a tese e nao para obter endosso, o que protege a credibilidade do ativo editorial.</t>
        </is>
      </c>
      <c r="E334" s="17" t="inlineStr">
        <is>
          <t>SA-04D</t>
        </is>
      </c>
      <c r="F334" s="17" t="inlineStr">
        <is>
          <t>voice_of_customer</t>
        </is>
      </c>
      <c r="G334" s="17" t="inlineStr">
        <is>
          <t>ECO-08</t>
        </is>
      </c>
      <c r="H334" s="17" t="inlineStr">
        <is>
          <t>DOC-C02-042</t>
        </is>
      </c>
      <c r="I334" s="18" t="inlineStr">
        <is>
          <t>texto 2.txt, Execute: 'A abordagem aos pesquisadores nao deve ser valide minha teoria, mas estou mapeando a intersecao entre funcoes executivas, demandas cognitivas e project risk; onde esta formulacao ja existe, onde estou extrapolando e quais literaturas estou deixando de considerar'.</t>
        </is>
      </c>
      <c r="J334" s="17" t="inlineStr">
        <is>
          <t>strong</t>
        </is>
      </c>
      <c r="K334" s="17" t="inlineStr">
        <is>
          <t>0.9</t>
        </is>
      </c>
      <c r="L334" s="17" t="inlineStr">
        <is>
          <t>fact</t>
        </is>
      </c>
    </row>
    <row r="335">
      <c r="A335" s="17" t="inlineStr">
        <is>
          <t>EV-868e698b7a</t>
        </is>
      </c>
      <c r="B335" s="17" t="inlineStr">
        <is>
          <t>strategic_analysis</t>
        </is>
      </c>
      <c r="C335" s="17" t="inlineStr">
        <is>
          <t>r2</t>
        </is>
      </c>
      <c r="D335" s="18" t="inlineStr">
        <is>
          <t>A abordagem aos especialistas esta desenhada para falsificar a tese e nao para obter endosso, o que protege a credibilidade do ativo editorial.</t>
        </is>
      </c>
      <c r="E335" s="17" t="inlineStr">
        <is>
          <t>SA-04D</t>
        </is>
      </c>
      <c r="F335" s="17" t="inlineStr">
        <is>
          <t>voice_of_customer</t>
        </is>
      </c>
      <c r="G335" s="17" t="inlineStr">
        <is>
          <t>ECO-08</t>
        </is>
      </c>
      <c r="H335" s="17" t="inlineStr">
        <is>
          <t>DOC-C02-029</t>
        </is>
      </c>
      <c r="I335" s="18" t="inlineStr">
        <is>
          <t>texto 2.txt, Execute: 'A abordagem aos pesquisadores nao deve ser valide minha teoria, mas estou mapeando a intersecao entre funcoes executivas, demandas cognitivas e project risk; onde esta formulacao ja existe, onde estou extrapolando e quais literaturas estou deixando de considerar'.</t>
        </is>
      </c>
      <c r="J335" s="17" t="inlineStr">
        <is>
          <t>strong</t>
        </is>
      </c>
      <c r="K335" s="17" t="inlineStr">
        <is>
          <t>0.9</t>
        </is>
      </c>
      <c r="L335" s="17" t="inlineStr">
        <is>
          <t>fact</t>
        </is>
      </c>
    </row>
    <row r="336">
      <c r="A336" s="17" t="inlineStr">
        <is>
          <t>EV-966604aa61</t>
        </is>
      </c>
      <c r="B336" s="17" t="inlineStr">
        <is>
          <t>strategic_analysis</t>
        </is>
      </c>
      <c r="C336" s="17" t="inlineStr">
        <is>
          <t>r2</t>
        </is>
      </c>
      <c r="D336" s="18" t="inlineStr">
        <is>
          <t>A concorrencia da linha fisica esta documentada apenas para o Timer, por captura de busca com tres ofertas patrocinadas e um resultado de marketplace.</t>
        </is>
      </c>
      <c r="E336" s="17" t="inlineStr">
        <is>
          <t>SA-05</t>
        </is>
      </c>
      <c r="F336" s="17" t="inlineStr">
        <is>
          <t>competitive_landscape</t>
        </is>
      </c>
      <c r="G336" s="17" t="inlineStr">
        <is>
          <t>ECO-04</t>
        </is>
      </c>
      <c r="H336" s="17" t="inlineStr">
        <is>
          <t>DOC-C13-010</t>
        </is>
      </c>
      <c r="I336" s="18" t="inlineStr">
        <is>
          <t>Referencia visual Timer 45: 'Sponsored products' com R$97,90 (Mercado Livre), R$95,70 (Amazon.com.br), R$28,46 (AliExpress) e 'Sponsored result: Temporizador Cubo | Mercado Livre ... Rating 4.7 - 2,450 reviews'.</t>
        </is>
      </c>
      <c r="J336" s="17" t="inlineStr">
        <is>
          <t>moderate</t>
        </is>
      </c>
      <c r="K336" s="17" t="inlineStr">
        <is>
          <t>0.8</t>
        </is>
      </c>
      <c r="L336" s="17" t="inlineStr">
        <is>
          <t>fact</t>
        </is>
      </c>
    </row>
    <row r="337">
      <c r="A337" s="17" t="inlineStr">
        <is>
          <t>EV-a35c88b076</t>
        </is>
      </c>
      <c r="B337" s="17" t="inlineStr">
        <is>
          <t>strategic_analysis</t>
        </is>
      </c>
      <c r="C337" s="17" t="inlineStr">
        <is>
          <t>r2</t>
        </is>
      </c>
      <c r="D337" s="18" t="inlineStr">
        <is>
          <t>O acervo traz seis referencias de curso e cinco de e-book com preco, mas sem URL, data de coleta ou identificacao dos concorrentes.</t>
        </is>
      </c>
      <c r="E337" s="17" t="inlineStr">
        <is>
          <t>SA-05</t>
        </is>
      </c>
      <c r="F337" s="17" t="inlineStr">
        <is>
          <t>competitive_landscape</t>
        </is>
      </c>
      <c r="G337" s="17" t="inlineStr">
        <is>
          <t>ECO-05</t>
        </is>
      </c>
      <c r="H337" s="17" t="inlineStr">
        <is>
          <t>DOC-C05-001</t>
        </is>
      </c>
      <c r="I337" s="18" t="inlineStr">
        <is>
          <t>Ecossistema, tabelas 'Benchmark - e-books' e 'Benchmark - curso' listam faixas e ofertas ('Programa premium TDAH 2.0, 90 dias, 75 aulas, app/IA, R$ 1.997') sem nome comercial nem link verificavel.</t>
        </is>
      </c>
      <c r="J337" s="17" t="inlineStr">
        <is>
          <t>weak</t>
        </is>
      </c>
      <c r="K337" s="17" t="inlineStr">
        <is>
          <t>0.65</t>
        </is>
      </c>
      <c r="L337" s="17" t="inlineStr">
        <is>
          <t>gap</t>
        </is>
      </c>
    </row>
    <row r="338">
      <c r="A338" s="17" t="inlineStr">
        <is>
          <t>EV-adabf06d4a</t>
        </is>
      </c>
      <c r="B338" s="17" t="inlineStr">
        <is>
          <t>strategic_analysis</t>
        </is>
      </c>
      <c r="C338" s="17" t="inlineStr">
        <is>
          <t>r2</t>
        </is>
      </c>
      <c r="D338" s="18" t="inlineStr">
        <is>
          <t>Nao ha mapeamento competitivo do livro autoral de Risco Cognitivo, e o acervo alerta explicitamente contra tratar a ausencia de concorrente como prova de ineditismo.</t>
        </is>
      </c>
      <c r="E338" s="17" t="inlineStr">
        <is>
          <t>SA-05</t>
        </is>
      </c>
      <c r="F338" s="17" t="inlineStr">
        <is>
          <t>competitive_landscape</t>
        </is>
      </c>
      <c r="G338" s="17" t="inlineStr">
        <is>
          <t>ECO-06</t>
        </is>
      </c>
      <c r="H338" s="17" t="inlineStr">
        <is>
          <t>DOC-C02-002</t>
        </is>
      </c>
      <c r="I338" s="18" t="inlineStr">
        <is>
          <t>MASTER_INDEX RC-016: 'Nao foi encontrado na pesquisa executada um framework consolidado que una TDAH/funcoes executivas + risco endogeno + gestao de projetos + controles compensatorios... O whitespace e promissor, mas ausencia em busca nao equivale a inexistencia academica'; BMC, Riscos: 'Tratar a ausencia de um framework equivalente nas buscas como prova de ineditismo pode comprometer a credibilidade'.</t>
        </is>
      </c>
      <c r="J338" s="17" t="inlineStr">
        <is>
          <t>strong</t>
        </is>
      </c>
      <c r="K338" s="17" t="inlineStr">
        <is>
          <t>0.9</t>
        </is>
      </c>
      <c r="L338" s="17" t="inlineStr">
        <is>
          <t>fact</t>
        </is>
      </c>
    </row>
    <row r="339">
      <c r="A339" s="17" t="inlineStr">
        <is>
          <t>EV-77c242e6d8</t>
        </is>
      </c>
      <c r="B339" s="17" t="inlineStr">
        <is>
          <t>strategic_analysis</t>
        </is>
      </c>
      <c r="C339" s="17" t="inlineStr">
        <is>
          <t>r2</t>
        </is>
      </c>
      <c r="D339" s="18" t="inlineStr">
        <is>
          <t>Nao ha mapeamento competitivo do livro autoral de Risco Cognitivo, e o acervo alerta explicitamente contra tratar a ausencia de concorrente como prova de ineditismo.</t>
        </is>
      </c>
      <c r="E339" s="17" t="inlineStr">
        <is>
          <t>SA-05</t>
        </is>
      </c>
      <c r="F339" s="17" t="inlineStr">
        <is>
          <t>competitive_landscape</t>
        </is>
      </c>
      <c r="G339" s="17" t="inlineStr">
        <is>
          <t>ECO-06</t>
        </is>
      </c>
      <c r="H339" s="17" t="inlineStr">
        <is>
          <t>DOC-C02-039</t>
        </is>
      </c>
      <c r="I339" s="18" t="inlineStr">
        <is>
          <t>MASTER_INDEX RC-016: 'Nao foi encontrado na pesquisa executada um framework consolidado que una TDAH/funcoes executivas + risco endogeno + gestao de projetos + controles compensatorios... O whitespace e promissor, mas ausencia em busca nao equivale a inexistencia academica'; BMC, Riscos: 'Tratar a ausencia de um framework equivalente nas buscas como prova de ineditismo pode comprometer a credibilidade'.</t>
        </is>
      </c>
      <c r="J339" s="17" t="inlineStr">
        <is>
          <t>strong</t>
        </is>
      </c>
      <c r="K339" s="17" t="inlineStr">
        <is>
          <t>0.9</t>
        </is>
      </c>
      <c r="L339" s="17" t="inlineStr">
        <is>
          <t>fact</t>
        </is>
      </c>
    </row>
    <row r="340">
      <c r="A340" s="17" t="inlineStr">
        <is>
          <t>EV-8d52256a29</t>
        </is>
      </c>
      <c r="B340" s="17" t="inlineStr">
        <is>
          <t>strategic_analysis</t>
        </is>
      </c>
      <c r="C340" s="17" t="inlineStr">
        <is>
          <t>r2</t>
        </is>
      </c>
      <c r="D340" s="18" t="inlineStr">
        <is>
          <t>Nao existe mapeamento de criadores ou canais concorrentes de TDAH adulto no Brasil, apesar de 'midia/autoridade medica' e 'infoprodutores' serem categorias declaradas.</t>
        </is>
      </c>
      <c r="E340" s="17" t="inlineStr">
        <is>
          <t>SA-05</t>
        </is>
      </c>
      <c r="F340" s="17" t="inlineStr">
        <is>
          <t>competitive_landscape</t>
        </is>
      </c>
      <c r="G340" s="17" t="inlineStr">
        <is>
          <t>ECO-08</t>
        </is>
      </c>
      <c r="H340" s="17" t="inlineStr">
        <is>
          <t>DOC-C07-009</t>
        </is>
      </c>
      <c r="I340" s="18" t="inlineStr">
        <is>
          <t>Dashboard QL-0017 nomeia as categorias, mas nenhum documento de ECO-08 lido (DOC-C14-004, DOC-C14-005, DOC-C14-006) contem analise de canal concorrente; as notas PUB tem apenas tarefa e campo Evidencia.</t>
        </is>
      </c>
      <c r="J340" s="17" t="inlineStr">
        <is>
          <t>strong</t>
        </is>
      </c>
      <c r="K340" s="17" t="inlineStr">
        <is>
          <t>0.8</t>
        </is>
      </c>
      <c r="L340" s="17" t="inlineStr">
        <is>
          <t>gap</t>
        </is>
      </c>
    </row>
    <row r="341">
      <c r="A341" s="17" t="inlineStr">
        <is>
          <t>EV-6ddba3bf15</t>
        </is>
      </c>
      <c r="B341" s="17" t="inlineStr">
        <is>
          <t>strategic_analysis</t>
        </is>
      </c>
      <c r="C341" s="17" t="inlineStr">
        <is>
          <t>r2</t>
        </is>
      </c>
      <c r="D341" s="18" t="inlineStr">
        <is>
          <t>Nao existe mapeamento de criadores ou canais concorrentes de TDAH adulto no Brasil, apesar de 'midia/autoridade medica' e 'infoprodutores' serem categorias declaradas.</t>
        </is>
      </c>
      <c r="E341" s="17" t="inlineStr">
        <is>
          <t>SA-05</t>
        </is>
      </c>
      <c r="F341" s="17" t="inlineStr">
        <is>
          <t>competitive_landscape</t>
        </is>
      </c>
      <c r="G341" s="17" t="inlineStr">
        <is>
          <t>ECO-08</t>
        </is>
      </c>
      <c r="H341" s="17" t="inlineStr">
        <is>
          <t>DOC-C14-004</t>
        </is>
      </c>
      <c r="I341" s="18" t="inlineStr">
        <is>
          <t>Dashboard QL-0017 nomeia as categorias, mas nenhum documento de ECO-08 lido (DOC-C14-004, DOC-C14-005, DOC-C14-006) contem analise de canal concorrente; as notas PUB tem apenas tarefa e campo Evidencia.</t>
        </is>
      </c>
      <c r="J341" s="17" t="inlineStr">
        <is>
          <t>strong</t>
        </is>
      </c>
      <c r="K341" s="17" t="inlineStr">
        <is>
          <t>0.8</t>
        </is>
      </c>
      <c r="L341" s="17" t="inlineStr">
        <is>
          <t>gap</t>
        </is>
      </c>
    </row>
    <row r="342">
      <c r="A342" s="17" t="inlineStr">
        <is>
          <t>EV-a052c699cd</t>
        </is>
      </c>
      <c r="B342" s="17" t="inlineStr">
        <is>
          <t>strategic_analysis</t>
        </is>
      </c>
      <c r="C342" s="17" t="inlineStr">
        <is>
          <t>r2</t>
        </is>
      </c>
      <c r="D342" s="18" t="inlineStr">
        <is>
          <t>Nao existe mapeamento de criadores ou canais concorrentes de TDAH adulto no Brasil, apesar de 'midia/autoridade medica' e 'infoprodutores' serem categorias declaradas.</t>
        </is>
      </c>
      <c r="E342" s="17" t="inlineStr">
        <is>
          <t>SA-05</t>
        </is>
      </c>
      <c r="F342" s="17" t="inlineStr">
        <is>
          <t>competitive_landscape</t>
        </is>
      </c>
      <c r="G342" s="17" t="inlineStr">
        <is>
          <t>ECO-08</t>
        </is>
      </c>
      <c r="H342" s="17" t="inlineStr">
        <is>
          <t>DOC-C14-005</t>
        </is>
      </c>
      <c r="I342" s="18" t="inlineStr">
        <is>
          <t>Dashboard QL-0017 nomeia as categorias, mas nenhum documento de ECO-08 lido (DOC-C14-004, DOC-C14-005, DOC-C14-006) contem analise de canal concorrente; as notas PUB tem apenas tarefa e campo Evidencia.</t>
        </is>
      </c>
      <c r="J342" s="17" t="inlineStr">
        <is>
          <t>strong</t>
        </is>
      </c>
      <c r="K342" s="17" t="inlineStr">
        <is>
          <t>0.8</t>
        </is>
      </c>
      <c r="L342" s="17" t="inlineStr">
        <is>
          <t>gap</t>
        </is>
      </c>
    </row>
    <row r="343">
      <c r="A343" s="17" t="inlineStr">
        <is>
          <t>EV-e6d0a2ccbc</t>
        </is>
      </c>
      <c r="B343" s="17" t="inlineStr">
        <is>
          <t>strategic_analysis</t>
        </is>
      </c>
      <c r="C343" s="17" t="inlineStr">
        <is>
          <t>r2</t>
        </is>
      </c>
      <c r="D343" s="18" t="inlineStr">
        <is>
          <t>Nao existe mapeamento de criadores ou canais concorrentes de TDAH adulto no Brasil, apesar de 'midia/autoridade medica' e 'infoprodutores' serem categorias declaradas.</t>
        </is>
      </c>
      <c r="E343" s="17" t="inlineStr">
        <is>
          <t>SA-05</t>
        </is>
      </c>
      <c r="F343" s="17" t="inlineStr">
        <is>
          <t>competitive_landscape</t>
        </is>
      </c>
      <c r="G343" s="17" t="inlineStr">
        <is>
          <t>ECO-08</t>
        </is>
      </c>
      <c r="H343" s="17" t="inlineStr">
        <is>
          <t>DOC-C14-006</t>
        </is>
      </c>
      <c r="I343" s="18" t="inlineStr">
        <is>
          <t>Dashboard QL-0017 nomeia as categorias, mas nenhum documento de ECO-08 lido (DOC-C14-004, DOC-C14-005, DOC-C14-006) contem analise de canal concorrente; as notas PUB tem apenas tarefa e campo Evidencia.</t>
        </is>
      </c>
      <c r="J343" s="17" t="inlineStr">
        <is>
          <t>strong</t>
        </is>
      </c>
      <c r="K343" s="17" t="inlineStr">
        <is>
          <t>0.8</t>
        </is>
      </c>
      <c r="L343" s="17" t="inlineStr">
        <is>
          <t>gap</t>
        </is>
      </c>
    </row>
    <row r="344">
      <c r="A344" s="17" t="inlineStr">
        <is>
          <t>EV-f701aeb91d</t>
        </is>
      </c>
      <c r="B344" s="17" t="inlineStr">
        <is>
          <t>strategic_analysis</t>
        </is>
      </c>
      <c r="C344" s="17" t="inlineStr">
        <is>
          <t>r2</t>
        </is>
      </c>
      <c r="D344" s="18" t="inlineStr">
        <is>
          <t>O acervo atribui aos infoprodutos o papel de motor de margem do ecossistema.</t>
        </is>
      </c>
      <c r="E344" s="17" t="inlineStr">
        <is>
          <t>SA-06A</t>
        </is>
      </c>
      <c r="F344" s="17" t="inlineStr">
        <is>
          <t>value_pools</t>
        </is>
      </c>
      <c r="G344" s="17" t="inlineStr">
        <is>
          <t>ECO-05</t>
        </is>
      </c>
      <c r="H344" s="17" t="inlineStr">
        <is>
          <t>DOC-C07-009</t>
        </is>
      </c>
      <c r="I344" s="18" t="inlineStr">
        <is>
          <t>Dashboard QL-0039, subtema 'Ecossistema de retencao': 'Infoprodutos sao propostos como motor de margem e produtos fisicos como retencao e marca'; acao secundaria: 'Validar economia unitaria e vinculo real entre fisico e retencao'.</t>
        </is>
      </c>
      <c r="J344" s="17" t="inlineStr">
        <is>
          <t>moderate</t>
        </is>
      </c>
      <c r="K344" s="17" t="inlineStr">
        <is>
          <t>0.8</t>
        </is>
      </c>
      <c r="L344" s="17" t="inlineStr">
        <is>
          <t>fact</t>
        </is>
      </c>
    </row>
    <row r="345">
      <c r="A345" s="17" t="inlineStr">
        <is>
          <t>EV-4992bda629</t>
        </is>
      </c>
      <c r="B345" s="17" t="inlineStr">
        <is>
          <t>strategic_analysis</t>
        </is>
      </c>
      <c r="C345" s="17" t="inlineStr">
        <is>
          <t>r2</t>
        </is>
      </c>
      <c r="D345" s="18" t="inlineStr">
        <is>
          <t>O papel atribuido aos produtos fisicos e retencao e marca, e nao geracao primaria de margem.</t>
        </is>
      </c>
      <c r="E345" s="17" t="inlineStr">
        <is>
          <t>SA-06A</t>
        </is>
      </c>
      <c r="F345" s="17" t="inlineStr">
        <is>
          <t>value_pools</t>
        </is>
      </c>
      <c r="G345" s="17" t="inlineStr">
        <is>
          <t>ECO-04</t>
        </is>
      </c>
      <c r="H345" s="17" t="inlineStr">
        <is>
          <t>DOC-C07-009</t>
        </is>
      </c>
      <c r="I345" s="18" t="inlineStr">
        <is>
          <t>Dashboard QL-0039: 'Infoprodutos sao propostos como motor de margem e produtos fisicos como retencao e marca'; Ecossistema, papel do bundle: 'Nao precisa maximizar margem percentual; deve maximizar margem absoluta + ticket + conversao'.</t>
        </is>
      </c>
      <c r="J345" s="17" t="inlineStr">
        <is>
          <t>moderate</t>
        </is>
      </c>
      <c r="K345" s="17" t="inlineStr">
        <is>
          <t>0.8</t>
        </is>
      </c>
      <c r="L345" s="17" t="inlineStr">
        <is>
          <t>fact</t>
        </is>
      </c>
    </row>
    <row r="346">
      <c r="A346" s="17" t="inlineStr">
        <is>
          <t>EV-385845a7a6</t>
        </is>
      </c>
      <c r="B346" s="17" t="inlineStr">
        <is>
          <t>strategic_analysis</t>
        </is>
      </c>
      <c r="C346" s="17" t="inlineStr">
        <is>
          <t>r2</t>
        </is>
      </c>
      <c r="D346" s="18" t="inlineStr">
        <is>
          <t>O papel atribuido aos produtos fisicos e retencao e marca, e nao geracao primaria de margem.</t>
        </is>
      </c>
      <c r="E346" s="17" t="inlineStr">
        <is>
          <t>SA-06A</t>
        </is>
      </c>
      <c r="F346" s="17" t="inlineStr">
        <is>
          <t>value_pools</t>
        </is>
      </c>
      <c r="G346" s="17" t="inlineStr">
        <is>
          <t>ECO-04</t>
        </is>
      </c>
      <c r="H346" s="17" t="inlineStr">
        <is>
          <t>DOC-C05-001</t>
        </is>
      </c>
      <c r="I346" s="18" t="inlineStr">
        <is>
          <t>Dashboard QL-0039: 'Infoprodutos sao propostos como motor de margem e produtos fisicos como retencao e marca'; Ecossistema, papel do bundle: 'Nao precisa maximizar margem percentual; deve maximizar margem absoluta + ticket + conversao'.</t>
        </is>
      </c>
      <c r="J346" s="17" t="inlineStr">
        <is>
          <t>moderate</t>
        </is>
      </c>
      <c r="K346" s="17" t="inlineStr">
        <is>
          <t>0.8</t>
        </is>
      </c>
      <c r="L346" s="17" t="inlineStr">
        <is>
          <t>fact</t>
        </is>
      </c>
    </row>
    <row r="347">
      <c r="A347" s="17" t="inlineStr">
        <is>
          <t>EV-1dad09615e</t>
        </is>
      </c>
      <c r="B347" s="17" t="inlineStr">
        <is>
          <t>strategic_analysis</t>
        </is>
      </c>
      <c r="C347" s="17" t="inlineStr">
        <is>
          <t>r2</t>
        </is>
      </c>
      <c r="D347" s="18" t="inlineStr">
        <is>
          <t>A escada comercial declarada tem sete degraus, do conteudo gratuito ao servico personalizado, com precos indicativos nos degraus 1 a 4.</t>
        </is>
      </c>
      <c r="E347" s="17" t="inlineStr">
        <is>
          <t>SA-06A</t>
        </is>
      </c>
      <c r="F347" s="17" t="inlineStr">
        <is>
          <t>value_pools</t>
        </is>
      </c>
      <c r="G347" s="17" t="inlineStr">
        <is>
          <t>ECO-05</t>
        </is>
      </c>
      <c r="H347" s="17" t="inlineStr">
        <is>
          <t>DOC-C05-001</t>
        </is>
      </c>
      <c r="I347" s="18" t="inlineStr">
        <is>
          <t>Ecossistema, 'A arquitetura comercial completa': '0 Blog/videos/materiais Gratuito Descoberta | 1 E-book individual R$ 39,90 Primeira compra | 2 3 e-books R$ 99-129 Biblioteca aplicada | 3 Curso Gerenciando TDAH Adulto R$ 97 Transformacao guiada | 4 Curso + biblioteca R$ 197 Oferta principal | 5 Produto fisico + digital Futuro Ecossistema | 6 Servico personalizado Categoria propria'.</t>
        </is>
      </c>
      <c r="J347" s="17" t="inlineStr">
        <is>
          <t>strong</t>
        </is>
      </c>
      <c r="K347" s="17" t="inlineStr">
        <is>
          <t>0.85</t>
        </is>
      </c>
      <c r="L347" s="17" t="inlineStr">
        <is>
          <t>fact</t>
        </is>
      </c>
    </row>
    <row r="348">
      <c r="A348" s="17" t="inlineStr">
        <is>
          <t>EV-3660db71d9</t>
        </is>
      </c>
      <c r="B348" s="17" t="inlineStr">
        <is>
          <t>strategic_analysis</t>
        </is>
      </c>
      <c r="C348" s="17" t="inlineStr">
        <is>
          <t>r2</t>
        </is>
      </c>
      <c r="D348" s="18" t="inlineStr">
        <is>
          <t>A linha fisica tem arquitetura comercial em cinco niveis, com reposicoes previstas como receita recorrente.</t>
        </is>
      </c>
      <c r="E348" s="17" t="inlineStr">
        <is>
          <t>SA-06A</t>
        </is>
      </c>
      <c r="F348" s="17" t="inlineStr">
        <is>
          <t>value_pools</t>
        </is>
      </c>
      <c r="G348" s="17" t="inlineStr">
        <is>
          <t>ECO-04</t>
        </is>
      </c>
      <c r="H348" s="17" t="inlineStr">
        <is>
          <t>DOC-C05-001</t>
        </is>
      </c>
      <c r="I348" s="18" t="inlineStr">
        <is>
          <t>Ecossistema, 'Arquitetura comercial da linha': 'Entrada Timer 45 / Kit Organizacao | Core Neurobook | Bundle Executar Office Kit | Upsell Componentes adicionais / reposicoes / reprints | Integracao QR / App Executar / templates'; e 'Reposicoes: Reprints, etiquetas, paginas, acessorios - Receita recorrente fisica'.</t>
        </is>
      </c>
      <c r="J348" s="17" t="inlineStr">
        <is>
          <t>strong</t>
        </is>
      </c>
      <c r="K348" s="17" t="inlineStr">
        <is>
          <t>0.85</t>
        </is>
      </c>
      <c r="L348" s="17" t="inlineStr">
        <is>
          <t>fact</t>
        </is>
      </c>
    </row>
    <row r="349">
      <c r="A349" s="17" t="inlineStr">
        <is>
          <t>EV-a324ebb9f5</t>
        </is>
      </c>
      <c r="B349" s="17" t="inlineStr">
        <is>
          <t>strategic_analysis</t>
        </is>
      </c>
      <c r="C349" s="17" t="inlineStr">
        <is>
          <t>r2</t>
        </is>
      </c>
      <c r="D349" s="18" t="inlineStr">
        <is>
          <t>A linha fisica tem arquitetura comercial em cinco niveis, com reposicoes previstas como receita recorrente.</t>
        </is>
      </c>
      <c r="E349" s="17" t="inlineStr">
        <is>
          <t>SA-06A</t>
        </is>
      </c>
      <c r="F349" s="17" t="inlineStr">
        <is>
          <t>value_pools</t>
        </is>
      </c>
      <c r="G349" s="17" t="inlineStr">
        <is>
          <t>ECO-04</t>
        </is>
      </c>
      <c r="H349" s="17" t="inlineStr">
        <is>
          <t>DOC-C09-008</t>
        </is>
      </c>
      <c r="I349" s="18" t="inlineStr">
        <is>
          <t>Ecossistema, 'Arquitetura comercial da linha': 'Entrada Timer 45 / Kit Organizacao | Core Neurobook | Bundle Executar Office Kit | Upsell Componentes adicionais / reposicoes / reprints | Integracao QR / App Executar / templates'; e 'Reposicoes: Reprints, etiquetas, paginas, acessorios - Receita recorrente fisica'.</t>
        </is>
      </c>
      <c r="J349" s="17" t="inlineStr">
        <is>
          <t>strong</t>
        </is>
      </c>
      <c r="K349" s="17" t="inlineStr">
        <is>
          <t>0.85</t>
        </is>
      </c>
      <c r="L349" s="17" t="inlineStr">
        <is>
          <t>fact</t>
        </is>
      </c>
    </row>
    <row r="350">
      <c r="A350" s="17" t="inlineStr">
        <is>
          <t>EV-797d9f620e</t>
        </is>
      </c>
      <c r="B350" s="17" t="inlineStr">
        <is>
          <t>strategic_analysis</t>
        </is>
      </c>
      <c r="C350" s="17" t="inlineStr">
        <is>
          <t>r2</t>
        </is>
      </c>
      <c r="D350" s="18" t="inlineStr">
        <is>
          <t>A monetizacao do ecossistema editorial esta ordenada como cadeia unica, com afiliado no primeiro degrau.</t>
        </is>
      </c>
      <c r="E350" s="17" t="inlineStr">
        <is>
          <t>SA-06A</t>
        </is>
      </c>
      <c r="F350" s="17" t="inlineStr">
        <is>
          <t>value_pools</t>
        </is>
      </c>
      <c r="G350" s="17" t="inlineStr">
        <is>
          <t>ECO-08</t>
        </is>
      </c>
      <c r="H350" s="17" t="inlineStr">
        <is>
          <t>DOC-C05-001</t>
        </is>
      </c>
      <c r="I350" s="18" t="inlineStr">
        <is>
          <t>Ecossistema, Biblioteca Executar, campo Monetizacao: 'Afiliado, e-book, curso, produto, servico'; e cadeia de valor editorial '09 Livro afiliado Aprofundamento externo | 10 E-book Aplicacao estruturada | 11 Curso Aplicacao guiada | 12 Executar / Studio Implementacao'.</t>
        </is>
      </c>
      <c r="J350" s="17" t="inlineStr">
        <is>
          <t>strong</t>
        </is>
      </c>
      <c r="K350" s="17" t="inlineStr">
        <is>
          <t>0.85</t>
        </is>
      </c>
      <c r="L350" s="17" t="inlineStr">
        <is>
          <t>fact</t>
        </is>
      </c>
    </row>
    <row r="351">
      <c r="A351" s="17" t="inlineStr">
        <is>
          <t>EV-1430d2ba9d</t>
        </is>
      </c>
      <c r="B351" s="17" t="inlineStr">
        <is>
          <t>strategic_analysis</t>
        </is>
      </c>
      <c r="C351" s="17" t="inlineStr">
        <is>
          <t>r2</t>
        </is>
      </c>
      <c r="D351" s="18" t="inlineStr">
        <is>
          <t>A monetizacao do ecossistema editorial esta ordenada como cadeia unica, com afiliado no primeiro degrau.</t>
        </is>
      </c>
      <c r="E351" s="17" t="inlineStr">
        <is>
          <t>SA-06A</t>
        </is>
      </c>
      <c r="F351" s="17" t="inlineStr">
        <is>
          <t>value_pools</t>
        </is>
      </c>
      <c r="G351" s="17" t="inlineStr">
        <is>
          <t>ECO-08</t>
        </is>
      </c>
      <c r="H351" s="17" t="inlineStr">
        <is>
          <t>DOC-C09-018</t>
        </is>
      </c>
      <c r="I351" s="18" t="inlineStr">
        <is>
          <t>Ecossistema, Biblioteca Executar, campo Monetizacao: 'Afiliado, e-book, curso, produto, servico'; e cadeia de valor editorial '09 Livro afiliado Aprofundamento externo | 10 E-book Aplicacao estruturada | 11 Curso Aplicacao guiada | 12 Executar / Studio Implementacao'.</t>
        </is>
      </c>
      <c r="J351" s="17" t="inlineStr">
        <is>
          <t>strong</t>
        </is>
      </c>
      <c r="K351" s="17" t="inlineStr">
        <is>
          <t>0.85</t>
        </is>
      </c>
      <c r="L351" s="17" t="inlineStr">
        <is>
          <t>fact</t>
        </is>
      </c>
    </row>
    <row r="352">
      <c r="A352" s="17" t="inlineStr">
        <is>
          <t>EV-1758438480</t>
        </is>
      </c>
      <c r="B352" s="17" t="inlineStr">
        <is>
          <t>strategic_analysis</t>
        </is>
      </c>
      <c r="C352" s="17" t="inlineStr">
        <is>
          <t>r2</t>
        </is>
      </c>
      <c r="D352" s="18" t="inlineStr">
        <is>
          <t>O livro autoral de Risco Cognitivo aparece como ultimo degrau de uma escada de maturidade intelectual, nao como oferta do lancamento.</t>
        </is>
      </c>
      <c r="E352" s="17" t="inlineStr">
        <is>
          <t>SA-06A</t>
        </is>
      </c>
      <c r="F352" s="17" t="inlineStr">
        <is>
          <t>value_pools</t>
        </is>
      </c>
      <c r="G352" s="17" t="inlineStr">
        <is>
          <t>ECO-06</t>
        </is>
      </c>
      <c r="H352" s="17" t="inlineStr">
        <is>
          <t>DOC-C02-002</t>
        </is>
      </c>
      <c r="I352" s="18" t="inlineStr">
        <is>
          <t>MASTER_INDEX RC-028, 'Escada de maturidade', status DECIDIDO, prazo DEPOIS: 'Evolucao sugerida: artigo/manifesto v0, white paper/framework v1, aplicacao no EXECUTAR, casos/dados, artigo academico, livro/curso'; texto 2.txt, Entregue: 'white paper/livro/curso = expansao intelectual, mantendo cada estagio condicionado a validacao do anterior'.</t>
        </is>
      </c>
      <c r="J352" s="17" t="inlineStr">
        <is>
          <t>strong</t>
        </is>
      </c>
      <c r="K352" s="17" t="inlineStr">
        <is>
          <t>0.9</t>
        </is>
      </c>
      <c r="L352" s="17" t="inlineStr">
        <is>
          <t>fact</t>
        </is>
      </c>
    </row>
    <row r="353">
      <c r="A353" s="17" t="inlineStr">
        <is>
          <t>EV-9bfa0e0fd0</t>
        </is>
      </c>
      <c r="B353" s="17" t="inlineStr">
        <is>
          <t>strategic_analysis</t>
        </is>
      </c>
      <c r="C353" s="17" t="inlineStr">
        <is>
          <t>r2</t>
        </is>
      </c>
      <c r="D353" s="18" t="inlineStr">
        <is>
          <t>O livro autoral de Risco Cognitivo aparece como ultimo degrau de uma escada de maturidade intelectual, nao como oferta do lancamento.</t>
        </is>
      </c>
      <c r="E353" s="17" t="inlineStr">
        <is>
          <t>SA-06A</t>
        </is>
      </c>
      <c r="F353" s="17" t="inlineStr">
        <is>
          <t>value_pools</t>
        </is>
      </c>
      <c r="G353" s="17" t="inlineStr">
        <is>
          <t>ECO-06</t>
        </is>
      </c>
      <c r="H353" s="17" t="inlineStr">
        <is>
          <t>DOC-C02-042</t>
        </is>
      </c>
      <c r="I353" s="18" t="inlineStr">
        <is>
          <t>MASTER_INDEX RC-028, 'Escada de maturidade', status DECIDIDO, prazo DEPOIS: 'Evolucao sugerida: artigo/manifesto v0, white paper/framework v1, aplicacao no EXECUTAR, casos/dados, artigo academico, livro/curso'; texto 2.txt, Entregue: 'white paper/livro/curso = expansao intelectual, mantendo cada estagio condicionado a validacao do anterior'.</t>
        </is>
      </c>
      <c r="J353" s="17" t="inlineStr">
        <is>
          <t>strong</t>
        </is>
      </c>
      <c r="K353" s="17" t="inlineStr">
        <is>
          <t>0.9</t>
        </is>
      </c>
      <c r="L353" s="17" t="inlineStr">
        <is>
          <t>fact</t>
        </is>
      </c>
    </row>
    <row r="354">
      <c r="A354" s="17" t="inlineStr">
        <is>
          <t>EV-b1a12d52f3</t>
        </is>
      </c>
      <c r="B354" s="17" t="inlineStr">
        <is>
          <t>strategic_analysis</t>
        </is>
      </c>
      <c r="C354" s="17" t="inlineStr">
        <is>
          <t>r2</t>
        </is>
      </c>
      <c r="D354" s="18" t="inlineStr">
        <is>
          <t>A estrutura de economia unitaria da linha fisica esta completamente definida como formula e completamente vazia como numero.</t>
        </is>
      </c>
      <c r="E354" s="17" t="inlineStr">
        <is>
          <t>SA-06B</t>
        </is>
      </c>
      <c r="F354" s="17" t="inlineStr">
        <is>
          <t>unit_economics</t>
        </is>
      </c>
      <c r="G354" s="17" t="inlineStr">
        <is>
          <t>ECO-04</t>
        </is>
      </c>
      <c r="H354" s="17" t="inlineStr">
        <is>
          <t>DOC-C05-001</t>
        </is>
      </c>
      <c r="I354" s="18" t="inlineStr">
        <is>
          <t>Ecossistema, Unit Economics: componentes 'frete internacional', 'impostos/importacao', 'frete/localizacao', 'embalagem Executar', 'etiqueta/manual/QR' todos com valor 'preencher'; 'Custo posto / landed cost X', 'Custo variavel total Y', 'Preco de venda P', 'Margem de contribuicao P menos Y'; unico valor real: 'Preco do fornecedor R$ 39'.</t>
        </is>
      </c>
      <c r="J354" s="17" t="inlineStr">
        <is>
          <t>strong</t>
        </is>
      </c>
      <c r="K354" s="17" t="inlineStr">
        <is>
          <t>0.9</t>
        </is>
      </c>
      <c r="L354" s="17" t="inlineStr">
        <is>
          <t>gap</t>
        </is>
      </c>
    </row>
    <row r="355">
      <c r="A355" s="17" t="inlineStr">
        <is>
          <t>EV-6191c0ac40</t>
        </is>
      </c>
      <c r="B355" s="17" t="inlineStr">
        <is>
          <t>strategic_analysis</t>
        </is>
      </c>
      <c r="C355" s="17" t="inlineStr">
        <is>
          <t>r2</t>
        </is>
      </c>
      <c r="D355" s="18" t="inlineStr">
        <is>
          <t>O acervo distingue margem de markup e fixa a formula, evitando o erro de precificar por dobra de custo.</t>
        </is>
      </c>
      <c r="E355" s="17" t="inlineStr">
        <is>
          <t>SA-06B</t>
        </is>
      </c>
      <c r="F355" s="17" t="inlineStr">
        <is>
          <t>unit_economics</t>
        </is>
      </c>
      <c r="G355" s="17" t="inlineStr">
        <is>
          <t>ECO-04</t>
        </is>
      </c>
      <c r="H355" s="17" t="inlineStr">
        <is>
          <t>DOC-C05-001</t>
        </is>
      </c>
      <c r="I355" s="18" t="inlineStr">
        <is>
          <t>Ecossistema: 'Margem bruta = (Preco menos Custo) dividido por Preco'; 'Markup = Preco dividido por Custo'; tabela: 'R$ 40 custo, R$ 80 venda, ganho R$ 40, margem 50% | R$ 40, R$ 100, R$ 60, 60% | R$ 40, R$ 120, R$ 80, 66,7%'; 'dobrar o preco representa markup de 2x, mas margem de apenas 50%'.</t>
        </is>
      </c>
      <c r="J355" s="17" t="inlineStr">
        <is>
          <t>strong</t>
        </is>
      </c>
      <c r="K355" s="17" t="inlineStr">
        <is>
          <t>0.9</t>
        </is>
      </c>
      <c r="L355" s="17" t="inlineStr">
        <is>
          <t>fact</t>
        </is>
      </c>
    </row>
    <row r="356">
      <c r="A356" s="17" t="inlineStr">
        <is>
          <t>EV-a0582c7b84</t>
        </is>
      </c>
      <c r="B356" s="17" t="inlineStr">
        <is>
          <t>strategic_analysis</t>
        </is>
      </c>
      <c r="C356" s="17" t="inlineStr">
        <is>
          <t>r2</t>
        </is>
      </c>
      <c r="D356" s="18" t="inlineStr">
        <is>
          <t>O unico calculo de bundle do acervo e explicitamente rotulado como exemplo matematico e nao como preco decidido.</t>
        </is>
      </c>
      <c r="E356" s="17" t="inlineStr">
        <is>
          <t>SA-06B</t>
        </is>
      </c>
      <c r="F356" s="17" t="inlineStr">
        <is>
          <t>unit_economics</t>
        </is>
      </c>
      <c r="G356" s="17" t="inlineStr">
        <is>
          <t>ECO-04</t>
        </is>
      </c>
      <c r="H356" s="17" t="inlineStr">
        <is>
          <t>DOC-C05-001</t>
        </is>
      </c>
      <c r="I356" s="18" t="inlineStr">
        <is>
          <t>Ecossistema: 'Exemplo apenas matematico: Neurobook R$ 149 + Timer R$ 119 + Organizacao R$ 79 + acessorios R$ 99 = R$ 446. Se o kit for R$ 369, o cliente percebe R$ 77 de economia / ~17% de desconto. Mas o desconto so e saudavel se o custo total ainda deixar a margem de contribuicao desejada.'</t>
        </is>
      </c>
      <c r="J356" s="17" t="inlineStr">
        <is>
          <t>strong</t>
        </is>
      </c>
      <c r="K356" s="17" t="inlineStr">
        <is>
          <t>0.85</t>
        </is>
      </c>
      <c r="L356" s="17" t="inlineStr">
        <is>
          <t>fact</t>
        </is>
      </c>
    </row>
    <row r="357">
      <c r="A357" s="17" t="inlineStr">
        <is>
          <t>EV-c6c00dd95e</t>
        </is>
      </c>
      <c r="B357" s="17" t="inlineStr">
        <is>
          <t>strategic_analysis</t>
        </is>
      </c>
      <c r="C357" s="17" t="inlineStr">
        <is>
          <t>r2</t>
        </is>
      </c>
      <c r="D357" s="18" t="inlineStr">
        <is>
          <t>O risco financeiro dominante da linha fisica esta nomeado como capital de giro, e nao como CapEx.</t>
        </is>
      </c>
      <c r="E357" s="17" t="inlineStr">
        <is>
          <t>SA-06B</t>
        </is>
      </c>
      <c r="F357" s="17" t="inlineStr">
        <is>
          <t>working_capital</t>
        </is>
      </c>
      <c r="G357" s="17" t="inlineStr">
        <is>
          <t>ECO-04</t>
        </is>
      </c>
      <c r="H357" s="17" t="inlineStr">
        <is>
          <t>DOC-C05-001</t>
        </is>
      </c>
      <c r="I357" s="18" t="inlineStr">
        <is>
          <t>Ecossistema, CapEx x OpEx: 'Estoque - Timers, Neurobooks, saquinhos e kits comprados para revenda - Ativo circulante / estoque, nao simplesmente OpEx'; 'Capital de giro - Dinheiro preso entre compra do produto e recebimento da venda - Este e um dos riscos principais desta linha fisica'; 'Quanto dinheiro eu quero imobilizar em estoque antes de provar que existe demanda?'.</t>
        </is>
      </c>
      <c r="J357" s="17" t="inlineStr">
        <is>
          <t>strong</t>
        </is>
      </c>
      <c r="K357" s="17" t="inlineStr">
        <is>
          <t>0.9</t>
        </is>
      </c>
      <c r="L357" s="17" t="inlineStr">
        <is>
          <t>fact</t>
        </is>
      </c>
    </row>
    <row r="358">
      <c r="A358" s="17" t="inlineStr">
        <is>
          <t>EV-19433a42af</t>
        </is>
      </c>
      <c r="B358" s="17" t="inlineStr">
        <is>
          <t>strategic_analysis</t>
        </is>
      </c>
      <c r="C358" s="17" t="inlineStr">
        <is>
          <t>r2</t>
        </is>
      </c>
      <c r="D358" s="18" t="inlineStr">
        <is>
          <t>O risco financeiro dominante da linha fisica esta nomeado como capital de giro, e nao como CapEx.</t>
        </is>
      </c>
      <c r="E358" s="17" t="inlineStr">
        <is>
          <t>SA-06B</t>
        </is>
      </c>
      <c r="F358" s="17" t="inlineStr">
        <is>
          <t>working_capital</t>
        </is>
      </c>
      <c r="G358" s="17" t="inlineStr">
        <is>
          <t>ECO-04</t>
        </is>
      </c>
      <c r="H358" s="17" t="inlineStr">
        <is>
          <t>DOC-C09-008</t>
        </is>
      </c>
      <c r="I358" s="18" t="inlineStr">
        <is>
          <t>Ecossistema, CapEx x OpEx: 'Estoque - Timers, Neurobooks, saquinhos e kits comprados para revenda - Ativo circulante / estoque, nao simplesmente OpEx'; 'Capital de giro - Dinheiro preso entre compra do produto e recebimento da venda - Este e um dos riscos principais desta linha fisica'; 'Quanto dinheiro eu quero imobilizar em estoque antes de provar que existe demanda?'.</t>
        </is>
      </c>
      <c r="J358" s="17" t="inlineStr">
        <is>
          <t>strong</t>
        </is>
      </c>
      <c r="K358" s="17" t="inlineStr">
        <is>
          <t>0.9</t>
        </is>
      </c>
      <c r="L358" s="17" t="inlineStr">
        <is>
          <t>fact</t>
        </is>
      </c>
    </row>
    <row r="359">
      <c r="A359" s="17" t="inlineStr">
        <is>
          <t>EV-586a766fd4</t>
        </is>
      </c>
      <c r="B359" s="17" t="inlineStr">
        <is>
          <t>strategic_analysis</t>
        </is>
      </c>
      <c r="C359" s="17" t="inlineStr">
        <is>
          <t>r2</t>
        </is>
      </c>
      <c r="D359" s="18" t="inlineStr">
        <is>
          <t>A politica de margem da linha fisica e deliberadamente nao fixada, por desconhecimento de custo posto e de elasticidade.</t>
        </is>
      </c>
      <c r="E359" s="17" t="inlineStr">
        <is>
          <t>SA-06B</t>
        </is>
      </c>
      <c r="F359" s="17" t="inlineStr">
        <is>
          <t>pricing</t>
        </is>
      </c>
      <c r="G359" s="17" t="inlineStr">
        <is>
          <t>ECO-04</t>
        </is>
      </c>
      <c r="H359" s="17" t="inlineStr">
        <is>
          <t>DOC-C05-001</t>
        </is>
      </c>
      <c r="I359" s="18" t="inlineStr">
        <is>
          <t>Ecossistema: 'Eu nao fixaria ainda o Timer precisa dar 60% ou o Neurobook precisa dar 50%. Primeiro estabeleceria faixas internas de teste, porque voce ainda nao conhece o custo posto nem a elasticidade da demanda'; classes: Timer 'margem mais disciplinada', Kit Organizacao 'margem pode vir mais do design', Neurobook 'maior liberdade de preco', Office Kit 'maximizar margem absoluta + ticket + conversao'.</t>
        </is>
      </c>
      <c r="J359" s="17" t="inlineStr">
        <is>
          <t>strong</t>
        </is>
      </c>
      <c r="K359" s="17" t="inlineStr">
        <is>
          <t>0.85</t>
        </is>
      </c>
      <c r="L359" s="17" t="inlineStr">
        <is>
          <t>fact</t>
        </is>
      </c>
    </row>
    <row r="360">
      <c r="A360" s="17" t="inlineStr">
        <is>
          <t>EV-d24a3e014c</t>
        </is>
      </c>
      <c r="B360" s="17" t="inlineStr">
        <is>
          <t>strategic_analysis</t>
        </is>
      </c>
      <c r="C360" s="17" t="inlineStr">
        <is>
          <t>r2</t>
        </is>
      </c>
      <c r="D360" s="18" t="inlineStr">
        <is>
          <t>Os precos de infoproduto estao decididos em tres niveis para o e-book e quatro momentos para o curso.</t>
        </is>
      </c>
      <c r="E360" s="17" t="inlineStr">
        <is>
          <t>SA-06B</t>
        </is>
      </c>
      <c r="F360" s="17" t="inlineStr">
        <is>
          <t>pricing</t>
        </is>
      </c>
      <c r="G360" s="17" t="inlineStr">
        <is>
          <t>ECO-05</t>
        </is>
      </c>
      <c r="H360" s="17" t="inlineStr">
        <is>
          <t>DOC-C05-001</t>
        </is>
      </c>
      <c r="I360" s="18" t="inlineStr">
        <is>
          <t>Ecossistema: 'Minha escolha inicial - Preco cheio: R$ 49,90; Preco de lancamento: R$ 39,90; Early adopter limitado: R$ 29,90'; curso: 'Turma/beta inicial R$ 79-97 | Lancamento R$ 97 | Preco regular apos validacao R$ 147 | Curso + 3 e-books R$ 197'; escada 'R$ 39,90 e-book, R$ 97 curso, R$ 197 bundle/ecossistema'.</t>
        </is>
      </c>
      <c r="J360" s="17" t="inlineStr">
        <is>
          <t>strong</t>
        </is>
      </c>
      <c r="K360" s="17" t="inlineStr">
        <is>
          <t>0.85</t>
        </is>
      </c>
      <c r="L360" s="17" t="inlineStr">
        <is>
          <t>fact</t>
        </is>
      </c>
    </row>
    <row r="361">
      <c r="A361" s="17" t="inlineStr">
        <is>
          <t>EV-3462bef0f8</t>
        </is>
      </c>
      <c r="B361" s="17" t="inlineStr">
        <is>
          <t>strategic_analysis</t>
        </is>
      </c>
      <c r="C361" s="17" t="inlineStr">
        <is>
          <t>r2</t>
        </is>
      </c>
      <c r="D361" s="18" t="inlineStr">
        <is>
          <t>Os precos de infoproduto estao decididos em tres niveis para o e-book e quatro momentos para o curso.</t>
        </is>
      </c>
      <c r="E361" s="17" t="inlineStr">
        <is>
          <t>SA-06B</t>
        </is>
      </c>
      <c r="F361" s="17" t="inlineStr">
        <is>
          <t>pricing</t>
        </is>
      </c>
      <c r="G361" s="17" t="inlineStr">
        <is>
          <t>ECO-05</t>
        </is>
      </c>
      <c r="H361" s="17" t="inlineStr">
        <is>
          <t>DOC-C09-013</t>
        </is>
      </c>
      <c r="I361" s="18" t="inlineStr">
        <is>
          <t>Ecossistema: 'Minha escolha inicial - Preco cheio: R$ 49,90; Preco de lancamento: R$ 39,90; Early adopter limitado: R$ 29,90'; curso: 'Turma/beta inicial R$ 79-97 | Lancamento R$ 97 | Preco regular apos validacao R$ 147 | Curso + 3 e-books R$ 197'; escada 'R$ 39,90 e-book, R$ 97 curso, R$ 197 bundle/ecossistema'.</t>
        </is>
      </c>
      <c r="J361" s="17" t="inlineStr">
        <is>
          <t>strong</t>
        </is>
      </c>
      <c r="K361" s="17" t="inlineStr">
        <is>
          <t>0.85</t>
        </is>
      </c>
      <c r="L361" s="17" t="inlineStr">
        <is>
          <t>fact</t>
        </is>
      </c>
    </row>
    <row r="362">
      <c r="A362" s="17" t="inlineStr">
        <is>
          <t>EV-4795273b01</t>
        </is>
      </c>
      <c r="B362" s="17" t="inlineStr">
        <is>
          <t>strategic_analysis</t>
        </is>
      </c>
      <c r="C362" s="17" t="inlineStr">
        <is>
          <t>r2</t>
        </is>
      </c>
      <c r="D362" s="18" t="inlineStr">
        <is>
          <t>Com a taxa prudencial declarada, o e-book de lancamento a R$ 39,90 rende cerca de R$ 33,46 liquidos de canal por venda, antes de impostos e CAC.</t>
        </is>
      </c>
      <c r="E362" s="17" t="inlineStr">
        <is>
          <t>SA-06B</t>
        </is>
      </c>
      <c r="F362" s="17" t="inlineStr">
        <is>
          <t>unit_economics</t>
        </is>
      </c>
      <c r="G362" s="17" t="inlineStr">
        <is>
          <t>ECO-05</t>
        </is>
      </c>
      <c r="H362" s="17" t="inlineStr">
        <is>
          <t>DOC-C05-001</t>
        </is>
      </c>
      <c r="I362" s="18" t="inlineStr">
        <is>
          <t>Calculo direto sobre valores do proprio acervo: 39,90 menos (0,099 x 39,90 = 3,95) menos 2,49 = 33,46. Base: 'Eu faria suas projecoes usando 9,9% + R$ 2,49, por prudencia' e preco de lancamento R$ 39,90.</t>
        </is>
      </c>
      <c r="J362" s="17" t="inlineStr">
        <is>
          <t>moderate</t>
        </is>
      </c>
      <c r="K362" s="17" t="inlineStr">
        <is>
          <t>0.75</t>
        </is>
      </c>
      <c r="L362" s="17" t="inlineStr">
        <is>
          <t>inference</t>
        </is>
      </c>
    </row>
    <row r="363">
      <c r="A363" s="17" t="inlineStr">
        <is>
          <t>EV-76c36030b6</t>
        </is>
      </c>
      <c r="B363" s="17" t="inlineStr">
        <is>
          <t>strategic_analysis</t>
        </is>
      </c>
      <c r="C363" s="17" t="inlineStr">
        <is>
          <t>r2</t>
        </is>
      </c>
      <c r="D363" s="18" t="inlineStr">
        <is>
          <t>Nao existe custo de producao do e-book nem do curso: nenhuma hora, diaria, ferramenta ou terceirizacao esta precificada.</t>
        </is>
      </c>
      <c r="E363" s="17" t="inlineStr">
        <is>
          <t>SA-06B</t>
        </is>
      </c>
      <c r="F363" s="17" t="inlineStr">
        <is>
          <t>unit_economics</t>
        </is>
      </c>
      <c r="G363" s="17" t="inlineStr">
        <is>
          <t>ECO-05</t>
        </is>
      </c>
      <c r="H363" s="17" t="inlineStr">
        <is>
          <t>DOC-C05-001</t>
        </is>
      </c>
      <c r="I363" s="18" t="inlineStr">
        <is>
          <t>Ecossistema define o padrao de producao ('12-16 capitulos', '~60-100 paginas visuais', '18-24 aulas', 'Video total ~2,5-4 horas') mas nao atribui custo; o acervo diz que aqui 'o raciocinio nao deve ser primariamente custo + markup' e sim 'valor percebido, benchmark, posicionamento, taxa do canal, CAC, margem de contribuicao' - e o CAC tambem nao existe.</t>
        </is>
      </c>
      <c r="J363" s="17" t="inlineStr">
        <is>
          <t>strong</t>
        </is>
      </c>
      <c r="K363" s="17" t="inlineStr">
        <is>
          <t>0.85</t>
        </is>
      </c>
      <c r="L363" s="17" t="inlineStr">
        <is>
          <t>gap</t>
        </is>
      </c>
    </row>
    <row r="364">
      <c r="A364" s="17" t="inlineStr">
        <is>
          <t>EV-2386ed4da1</t>
        </is>
      </c>
      <c r="B364" s="17" t="inlineStr">
        <is>
          <t>strategic_analysis</t>
        </is>
      </c>
      <c r="C364" s="17" t="inlineStr">
        <is>
          <t>r2</t>
        </is>
      </c>
      <c r="D364" s="18" t="inlineStr">
        <is>
          <t>Nao ha preco, condicao ou modelo de receita definido para os livros digitais: o item consta como pendencia aberta.</t>
        </is>
      </c>
      <c r="E364" s="17" t="inlineStr">
        <is>
          <t>SA-06B</t>
        </is>
      </c>
      <c r="F364" s="17" t="inlineStr">
        <is>
          <t>unit_economics</t>
        </is>
      </c>
      <c r="G364" s="17" t="inlineStr">
        <is>
          <t>ECO-06</t>
        </is>
      </c>
      <c r="H364" s="17" t="inlineStr">
        <is>
          <t>DOC-C09-011</t>
        </is>
      </c>
      <c r="I364" s="18" t="inlineStr">
        <is>
          <t>DOC-C09-011, 'Para fechar': 'capa e descricao; estrutura 4E; formato interativo + PDF complementar; preco/condicao inicial; pagina propria; cadastro Hotmart; chamada CH-004' - todos os tres titulos com Estado 'estruturar cadastro'.</t>
        </is>
      </c>
      <c r="J364" s="17" t="inlineStr">
        <is>
          <t>strong</t>
        </is>
      </c>
      <c r="K364" s="17" t="inlineStr">
        <is>
          <t>0.9</t>
        </is>
      </c>
      <c r="L364" s="17" t="inlineStr">
        <is>
          <t>gap</t>
        </is>
      </c>
    </row>
    <row r="365">
      <c r="A365" s="17" t="inlineStr">
        <is>
          <t>EV-fe2839c635</t>
        </is>
      </c>
      <c r="B365" s="17" t="inlineStr">
        <is>
          <t>strategic_analysis</t>
        </is>
      </c>
      <c r="C365" s="17" t="inlineStr">
        <is>
          <t>r2</t>
        </is>
      </c>
      <c r="D365" s="18" t="inlineStr">
        <is>
          <t>A receita de afiliados nao pode ser projetada: existe a comissao (10%) e o preco medio dos livros nao esta registrado, nem trafego ou taxa de clique.</t>
        </is>
      </c>
      <c r="E365" s="17" t="inlineStr">
        <is>
          <t>SA-06B</t>
        </is>
      </c>
      <c r="F365" s="17" t="inlineStr">
        <is>
          <t>unit_economics</t>
        </is>
      </c>
      <c r="G365" s="17" t="inlineStr">
        <is>
          <t>ECO-08</t>
        </is>
      </c>
      <c r="H365" s="17" t="inlineStr">
        <is>
          <t>DOC-C05-001</t>
        </is>
      </c>
      <c r="I365" s="18" t="inlineStr">
        <is>
          <t>Ecossistema, AF-08 Metricas: 'Clique, conversao, receita por referencia, receita por conteudo' - todas a coletar; a unica constante e '10% para livros e livros digitais em compras qualificadas'; o BMC registra '% geral nao informado' e 'metricas nao informadas permanecem desconhecidas'.</t>
        </is>
      </c>
      <c r="J365" s="17" t="inlineStr">
        <is>
          <t>moderate</t>
        </is>
      </c>
      <c r="K365" s="17" t="inlineStr">
        <is>
          <t>0.8</t>
        </is>
      </c>
      <c r="L365" s="17" t="inlineStr">
        <is>
          <t>gap</t>
        </is>
      </c>
    </row>
    <row r="366">
      <c r="A366" s="17" t="inlineStr">
        <is>
          <t>EV-6684f99824</t>
        </is>
      </c>
      <c r="B366" s="17" t="inlineStr">
        <is>
          <t>strategic_analysis</t>
        </is>
      </c>
      <c r="C366" s="17" t="inlineStr">
        <is>
          <t>r2</t>
        </is>
      </c>
      <c r="D366" s="18" t="inlineStr">
        <is>
          <t>A receita de afiliados nao pode ser projetada: existe a comissao (10%) e o preco medio dos livros nao esta registrado, nem trafego ou taxa de clique.</t>
        </is>
      </c>
      <c r="E366" s="17" t="inlineStr">
        <is>
          <t>SA-06B</t>
        </is>
      </c>
      <c r="F366" s="17" t="inlineStr">
        <is>
          <t>unit_economics</t>
        </is>
      </c>
      <c r="G366" s="17" t="inlineStr">
        <is>
          <t>ECO-08</t>
        </is>
      </c>
      <c r="H366" s="17" t="inlineStr">
        <is>
          <t>DOC-C02-039</t>
        </is>
      </c>
      <c r="I366" s="18" t="inlineStr">
        <is>
          <t>Ecossistema, AF-08 Metricas: 'Clique, conversao, receita por referencia, receita por conteudo' - todas a coletar; a unica constante e '10% para livros e livros digitais em compras qualificadas'; o BMC registra '% geral nao informado' e 'metricas nao informadas permanecem desconhecidas'.</t>
        </is>
      </c>
      <c r="J366" s="17" t="inlineStr">
        <is>
          <t>moderate</t>
        </is>
      </c>
      <c r="K366" s="17" t="inlineStr">
        <is>
          <t>0.8</t>
        </is>
      </c>
      <c r="L366" s="17" t="inlineStr">
        <is>
          <t>gap</t>
        </is>
      </c>
    </row>
    <row r="367">
      <c r="A367" s="17" t="inlineStr">
        <is>
          <t>EV-d1c078b3c5</t>
        </is>
      </c>
      <c r="B367" s="17" t="inlineStr">
        <is>
          <t>strategic_analysis</t>
        </is>
      </c>
      <c r="C367" s="17" t="inlineStr">
        <is>
          <t>r2</t>
        </is>
      </c>
      <c r="D367" s="18" t="inlineStr">
        <is>
          <t>A cadeia fisica declarada vai de compra para revenda a CMV, mas nenhum elo operacional (fornecedor, importacao, armazenagem, expedicao) tem responsavel ou processo.</t>
        </is>
      </c>
      <c r="E367" s="17" t="inlineStr">
        <is>
          <t>SA-07A</t>
        </is>
      </c>
      <c r="F367" s="17" t="inlineStr">
        <is>
          <t>value_chain</t>
        </is>
      </c>
      <c r="G367" s="17" t="inlineStr">
        <is>
          <t>ECO-04</t>
        </is>
      </c>
      <c r="H367" s="17" t="inlineStr">
        <is>
          <t>DOC-C05-001</t>
        </is>
      </c>
      <c r="I367" s="18" t="inlineStr">
        <is>
          <t>Ecossistema: 'Estoque - Timers, Neurobooks, saquinhos e kits comprados para revenda'; 'CMV - Custo do produto efetivamente vendido - O estoque transforma-se em Custo da Mercadoria Vendida quando ocorre a venda'; a fase 03 prevê 'Micro lote - Descobrir custo real, devolucoes e margem'.</t>
        </is>
      </c>
      <c r="J367" s="17" t="inlineStr">
        <is>
          <t>strong</t>
        </is>
      </c>
      <c r="K367" s="17" t="inlineStr">
        <is>
          <t>0.8</t>
        </is>
      </c>
      <c r="L367" s="17" t="inlineStr">
        <is>
          <t>gap</t>
        </is>
      </c>
    </row>
    <row r="368">
      <c r="A368" s="17" t="inlineStr">
        <is>
          <t>EV-cb928b52d2</t>
        </is>
      </c>
      <c r="B368" s="17" t="inlineStr">
        <is>
          <t>strategic_analysis</t>
        </is>
      </c>
      <c r="C368" s="17" t="inlineStr">
        <is>
          <t>r2</t>
        </is>
      </c>
      <c r="D368" s="18" t="inlineStr">
        <is>
          <t>A cadeia do infoproduto esta desenhada em duas trilhas paralelas: edicao interativa na store propria e edicao PDF/EPUB com area de membros na Hotmart.</t>
        </is>
      </c>
      <c r="E368" s="17" t="inlineStr">
        <is>
          <t>SA-07A</t>
        </is>
      </c>
      <c r="F368" s="17" t="inlineStr">
        <is>
          <t>value_chain</t>
        </is>
      </c>
      <c r="G368" s="17" t="inlineStr">
        <is>
          <t>ECO-05</t>
        </is>
      </c>
      <c r="H368" s="17" t="inlineStr">
        <is>
          <t>DOC-C05-001</t>
        </is>
      </c>
      <c r="I368" s="18" t="inlineStr">
        <is>
          <t>Ecossistema: 'Executar Store: Interactive Edition + PDF Edition | Hotmart: Experiencia em area de membros + PDF/EPUB complementar. Assim voce nao precisa degradar o produto inteiro ao formato PDF.'</t>
        </is>
      </c>
      <c r="J368" s="17" t="inlineStr">
        <is>
          <t>strong</t>
        </is>
      </c>
      <c r="K368" s="17" t="inlineStr">
        <is>
          <t>0.85</t>
        </is>
      </c>
      <c r="L368" s="17" t="inlineStr">
        <is>
          <t>fact</t>
        </is>
      </c>
    </row>
    <row r="369">
      <c r="A369" s="17" t="inlineStr">
        <is>
          <t>EV-525bdb2540</t>
        </is>
      </c>
      <c r="B369" s="17" t="inlineStr">
        <is>
          <t>strategic_analysis</t>
        </is>
      </c>
      <c r="C369" s="17" t="inlineStr">
        <is>
          <t>r2</t>
        </is>
      </c>
      <c r="D369" s="18" t="inlineStr">
        <is>
          <t>A cadeia do infoproduto esta desenhada em duas trilhas paralelas: edicao interativa na store propria e edicao PDF/EPUB com area de membros na Hotmart.</t>
        </is>
      </c>
      <c r="E369" s="17" t="inlineStr">
        <is>
          <t>SA-07A</t>
        </is>
      </c>
      <c r="F369" s="17" t="inlineStr">
        <is>
          <t>value_chain</t>
        </is>
      </c>
      <c r="G369" s="17" t="inlineStr">
        <is>
          <t>ECO-05</t>
        </is>
      </c>
      <c r="H369" s="17" t="inlineStr">
        <is>
          <t>DOC-C09-016</t>
        </is>
      </c>
      <c r="I369" s="18" t="inlineStr">
        <is>
          <t>Ecossistema: 'Executar Store: Interactive Edition + PDF Edition | Hotmart: Experiencia em area de membros + PDF/EPUB complementar. Assim voce nao precisa degradar o produto inteiro ao formato PDF.'</t>
        </is>
      </c>
      <c r="J369" s="17" t="inlineStr">
        <is>
          <t>strong</t>
        </is>
      </c>
      <c r="K369" s="17" t="inlineStr">
        <is>
          <t>0.85</t>
        </is>
      </c>
      <c r="L369" s="17" t="inlineStr">
        <is>
          <t>fact</t>
        </is>
      </c>
    </row>
    <row r="370">
      <c r="A370" s="17" t="inlineStr">
        <is>
          <t>EV-949748d7cc</t>
        </is>
      </c>
      <c r="B370" s="17" t="inlineStr">
        <is>
          <t>strategic_analysis</t>
        </is>
      </c>
      <c r="C370" s="17" t="inlineStr">
        <is>
          <t>r2</t>
        </is>
      </c>
      <c r="D370" s="18" t="inlineStr">
        <is>
          <t>A cadeia de producao editorial esta definida como uma fonte canonica com doze projecoes, o que e a mecanica central do flywheel.</t>
        </is>
      </c>
      <c r="E370" s="17" t="inlineStr">
        <is>
          <t>SA-07A</t>
        </is>
      </c>
      <c r="F370" s="17" t="inlineStr">
        <is>
          <t>value_chain</t>
        </is>
      </c>
      <c r="G370" s="17" t="inlineStr">
        <is>
          <t>ECO-08</t>
        </is>
      </c>
      <c r="H370" s="17" t="inlineStr">
        <is>
          <t>DOC-C05-001</t>
        </is>
      </c>
      <c r="I370" s="18" t="inlineStr">
        <is>
          <t>Ecossistema, 'Regra de producao: uma fonte, varios outputs': '01 Questao editorial, 02 Pesquisa + fontes, 03 Artigo canonico, 04 Diagrama/infografico canonico, 05 Video principal, 06 2-4 Shorts/Reels, 07 Carrossel, 08 Post LinkedIn, 09 Newsletter, 10 Entrada na Biblioteca, 11 Trecho reaproveitavel no e-book/curso, 12 CTA de aprofundamento'; 'Nao sao doze conteudos diferentes. E um conteudo com doze projecoes.'</t>
        </is>
      </c>
      <c r="J370" s="17" t="inlineStr">
        <is>
          <t>strong</t>
        </is>
      </c>
      <c r="K370" s="17" t="inlineStr">
        <is>
          <t>0.9</t>
        </is>
      </c>
      <c r="L370" s="17" t="inlineStr">
        <is>
          <t>fact</t>
        </is>
      </c>
    </row>
    <row r="371">
      <c r="A371" s="17" t="inlineStr">
        <is>
          <t>EV-855c4a6fc4</t>
        </is>
      </c>
      <c r="B371" s="17" t="inlineStr">
        <is>
          <t>strategic_analysis</t>
        </is>
      </c>
      <c r="C371" s="17" t="inlineStr">
        <is>
          <t>r2</t>
        </is>
      </c>
      <c r="D371" s="18" t="inlineStr">
        <is>
          <t>A cadeia de producao editorial esta definida como uma fonte canonica com doze projecoes, o que e a mecanica central do flywheel.</t>
        </is>
      </c>
      <c r="E371" s="17" t="inlineStr">
        <is>
          <t>SA-07A</t>
        </is>
      </c>
      <c r="F371" s="17" t="inlineStr">
        <is>
          <t>value_chain</t>
        </is>
      </c>
      <c r="G371" s="17" t="inlineStr">
        <is>
          <t>ECO-08</t>
        </is>
      </c>
      <c r="H371" s="17" t="inlineStr">
        <is>
          <t>DOC-C14-004</t>
        </is>
      </c>
      <c r="I371" s="18" t="inlineStr">
        <is>
          <t>Ecossistema, 'Regra de producao: uma fonte, varios outputs': '01 Questao editorial, 02 Pesquisa + fontes, 03 Artigo canonico, 04 Diagrama/infografico canonico, 05 Video principal, 06 2-4 Shorts/Reels, 07 Carrossel, 08 Post LinkedIn, 09 Newsletter, 10 Entrada na Biblioteca, 11 Trecho reaproveitavel no e-book/curso, 12 CTA de aprofundamento'; 'Nao sao doze conteudos diferentes. E um conteudo com doze projecoes.'</t>
        </is>
      </c>
      <c r="J371" s="17" t="inlineStr">
        <is>
          <t>strong</t>
        </is>
      </c>
      <c r="K371" s="17" t="inlineStr">
        <is>
          <t>0.9</t>
        </is>
      </c>
      <c r="L371" s="17" t="inlineStr">
        <is>
          <t>fact</t>
        </is>
      </c>
    </row>
    <row r="372">
      <c r="A372" s="17" t="inlineStr">
        <is>
          <t>EV-91e2d884bb</t>
        </is>
      </c>
      <c r="B372" s="17" t="inlineStr">
        <is>
          <t>strategic_analysis</t>
        </is>
      </c>
      <c r="C372" s="17" t="inlineStr">
        <is>
          <t>r2</t>
        </is>
      </c>
      <c r="D372" s="18" t="inlineStr">
        <is>
          <t>A cadeia de producao editorial esta definida como uma fonte canonica com doze projecoes, o que e a mecanica central do flywheel.</t>
        </is>
      </c>
      <c r="E372" s="17" t="inlineStr">
        <is>
          <t>SA-07A</t>
        </is>
      </c>
      <c r="F372" s="17" t="inlineStr">
        <is>
          <t>value_chain</t>
        </is>
      </c>
      <c r="G372" s="17" t="inlineStr">
        <is>
          <t>ECO-08</t>
        </is>
      </c>
      <c r="H372" s="17" t="inlineStr">
        <is>
          <t>DOC-C14-005</t>
        </is>
      </c>
      <c r="I372" s="18" t="inlineStr">
        <is>
          <t>Ecossistema, 'Regra de producao: uma fonte, varios outputs': '01 Questao editorial, 02 Pesquisa + fontes, 03 Artigo canonico, 04 Diagrama/infografico canonico, 05 Video principal, 06 2-4 Shorts/Reels, 07 Carrossel, 08 Post LinkedIn, 09 Newsletter, 10 Entrada na Biblioteca, 11 Trecho reaproveitavel no e-book/curso, 12 CTA de aprofundamento'; 'Nao sao doze conteudos diferentes. E um conteudo com doze projecoes.'</t>
        </is>
      </c>
      <c r="J372" s="17" t="inlineStr">
        <is>
          <t>strong</t>
        </is>
      </c>
      <c r="K372" s="17" t="inlineStr">
        <is>
          <t>0.9</t>
        </is>
      </c>
      <c r="L372" s="17" t="inlineStr">
        <is>
          <t>fact</t>
        </is>
      </c>
    </row>
    <row r="373">
      <c r="A373" s="17" t="inlineStr">
        <is>
          <t>EV-57812ab7ba</t>
        </is>
      </c>
      <c r="B373" s="17" t="inlineStr">
        <is>
          <t>strategic_analysis</t>
        </is>
      </c>
      <c r="C373" s="17" t="inlineStr">
        <is>
          <t>r2</t>
        </is>
      </c>
      <c r="D373" s="18" t="inlineStr">
        <is>
          <t>A cadeia de producao editorial esta definida como uma fonte canonica com doze projecoes, o que e a mecanica central do flywheel.</t>
        </is>
      </c>
      <c r="E373" s="17" t="inlineStr">
        <is>
          <t>SA-07A</t>
        </is>
      </c>
      <c r="F373" s="17" t="inlineStr">
        <is>
          <t>value_chain</t>
        </is>
      </c>
      <c r="G373" s="17" t="inlineStr">
        <is>
          <t>ECO-08</t>
        </is>
      </c>
      <c r="H373" s="17" t="inlineStr">
        <is>
          <t>DOC-C14-006</t>
        </is>
      </c>
      <c r="I373" s="18" t="inlineStr">
        <is>
          <t>Ecossistema, 'Regra de producao: uma fonte, varios outputs': '01 Questao editorial, 02 Pesquisa + fontes, 03 Artigo canonico, 04 Diagrama/infografico canonico, 05 Video principal, 06 2-4 Shorts/Reels, 07 Carrossel, 08 Post LinkedIn, 09 Newsletter, 10 Entrada na Biblioteca, 11 Trecho reaproveitavel no e-book/curso, 12 CTA de aprofundamento'; 'Nao sao doze conteudos diferentes. E um conteudo com doze projecoes.'</t>
        </is>
      </c>
      <c r="J373" s="17" t="inlineStr">
        <is>
          <t>strong</t>
        </is>
      </c>
      <c r="K373" s="17" t="inlineStr">
        <is>
          <t>0.9</t>
        </is>
      </c>
      <c r="L373" s="17" t="inlineStr">
        <is>
          <t>fact</t>
        </is>
      </c>
    </row>
    <row r="374">
      <c r="A374" s="17" t="inlineStr">
        <is>
          <t>EV-bbe323e8b7</t>
        </is>
      </c>
      <c r="B374" s="17" t="inlineStr">
        <is>
          <t>strategic_analysis</t>
        </is>
      </c>
      <c r="C374" s="17" t="inlineStr">
        <is>
          <t>r2</t>
        </is>
      </c>
      <c r="D374" s="18" t="inlineStr">
        <is>
          <t>A cadeia de valor do livro autoral esta definida como sequencia condicionada, cada estagio dependendo da validacao do anterior.</t>
        </is>
      </c>
      <c r="E374" s="17" t="inlineStr">
        <is>
          <t>SA-07A</t>
        </is>
      </c>
      <c r="F374" s="17" t="inlineStr">
        <is>
          <t>value_chain</t>
        </is>
      </c>
      <c r="G374" s="17" t="inlineStr">
        <is>
          <t>ECO-06</t>
        </is>
      </c>
      <c r="H374" s="17" t="inlineStr">
        <is>
          <t>DOC-C02-042</t>
        </is>
      </c>
      <c r="I374" s="18" t="inlineStr">
        <is>
          <t>texto 2.txt, Agora-Processo: 'A ordem correta e artigo fundador, campanha editorial, sinais de audiencia, scoping review, critica externa, framework v1, piloto, white paper, aplicacao no EXECUTAR, casos/dados, livro/curso/artigo academico'.</t>
        </is>
      </c>
      <c r="J374" s="17" t="inlineStr">
        <is>
          <t>strong</t>
        </is>
      </c>
      <c r="K374" s="17" t="inlineStr">
        <is>
          <t>0.9</t>
        </is>
      </c>
      <c r="L374" s="17" t="inlineStr">
        <is>
          <t>fact</t>
        </is>
      </c>
    </row>
    <row r="375">
      <c r="A375" s="17" t="inlineStr">
        <is>
          <t>EV-998da9b9e4</t>
        </is>
      </c>
      <c r="B375" s="17" t="inlineStr">
        <is>
          <t>strategic_analysis</t>
        </is>
      </c>
      <c r="C375" s="17" t="inlineStr">
        <is>
          <t>r2</t>
        </is>
      </c>
      <c r="D375" s="18" t="inlineStr">
        <is>
          <t>A cadeia de valor do livro autoral esta definida como sequencia condicionada, cada estagio dependendo da validacao do anterior.</t>
        </is>
      </c>
      <c r="E375" s="17" t="inlineStr">
        <is>
          <t>SA-07A</t>
        </is>
      </c>
      <c r="F375" s="17" t="inlineStr">
        <is>
          <t>value_chain</t>
        </is>
      </c>
      <c r="G375" s="17" t="inlineStr">
        <is>
          <t>ECO-06</t>
        </is>
      </c>
      <c r="H375" s="17" t="inlineStr">
        <is>
          <t>DOC-C02-002</t>
        </is>
      </c>
      <c r="I375" s="18" t="inlineStr">
        <is>
          <t>texto 2.txt, Agora-Processo: 'A ordem correta e artigo fundador, campanha editorial, sinais de audiencia, scoping review, critica externa, framework v1, piloto, white paper, aplicacao no EXECUTAR, casos/dados, livro/curso/artigo academico'.</t>
        </is>
      </c>
      <c r="J375" s="17" t="inlineStr">
        <is>
          <t>strong</t>
        </is>
      </c>
      <c r="K375" s="17" t="inlineStr">
        <is>
          <t>0.9</t>
        </is>
      </c>
      <c r="L375" s="17" t="inlineStr">
        <is>
          <t>fact</t>
        </is>
      </c>
    </row>
    <row r="376">
      <c r="A376" s="17" t="inlineStr">
        <is>
          <t>EV-b37890d107</t>
        </is>
      </c>
      <c r="B376" s="17" t="inlineStr">
        <is>
          <t>strategic_analysis</t>
        </is>
      </c>
      <c r="C376" s="17" t="inlineStr">
        <is>
          <t>r2</t>
        </is>
      </c>
      <c r="D376" s="18" t="inlineStr">
        <is>
          <t>Nenhuma capacidade de suprimento, importacao, estoque ou logistica reversa aparece declarada no acervo, embora a linha dependa dela.</t>
        </is>
      </c>
      <c r="E376" s="17" t="inlineStr">
        <is>
          <t>SA-07B</t>
        </is>
      </c>
      <c r="F376" s="17" t="inlineStr">
        <is>
          <t>capabilities</t>
        </is>
      </c>
      <c r="G376" s="17" t="inlineStr">
        <is>
          <t>ECO-04</t>
        </is>
      </c>
      <c r="H376" s="17" t="inlineStr">
        <is>
          <t>DOC-C08-008</t>
        </is>
      </c>
      <c r="I376" s="18" t="inlineStr">
        <is>
          <t>O somatorio de capacidade nao lista frente de suprimento: 'Central, rotas e chamadas 12 | Ofertas e cadastros 6 | Tres pecas editoriais 15 | Demonstracoes 15 | Publicacao e agenda 5 | Teste e conferencia 7 | Total 60'.</t>
        </is>
      </c>
      <c r="J376" s="17" t="inlineStr">
        <is>
          <t>strong</t>
        </is>
      </c>
      <c r="K376" s="17" t="inlineStr">
        <is>
          <t>0.85</t>
        </is>
      </c>
      <c r="L376" s="17" t="inlineStr">
        <is>
          <t>gap</t>
        </is>
      </c>
    </row>
    <row r="377">
      <c r="A377" s="17" t="inlineStr">
        <is>
          <t>EV-063befbc33</t>
        </is>
      </c>
      <c r="B377" s="17" t="inlineStr">
        <is>
          <t>strategic_analysis</t>
        </is>
      </c>
      <c r="C377" s="17" t="inlineStr">
        <is>
          <t>r2</t>
        </is>
      </c>
      <c r="D377" s="18" t="inlineStr">
        <is>
          <t>Nenhuma capacidade de suprimento, importacao, estoque ou logistica reversa aparece declarada no acervo, embora a linha dependa dela.</t>
        </is>
      </c>
      <c r="E377" s="17" t="inlineStr">
        <is>
          <t>SA-07B</t>
        </is>
      </c>
      <c r="F377" s="17" t="inlineStr">
        <is>
          <t>capabilities</t>
        </is>
      </c>
      <c r="G377" s="17" t="inlineStr">
        <is>
          <t>ECO-04</t>
        </is>
      </c>
      <c r="H377" s="17" t="inlineStr">
        <is>
          <t>DOC-C09-008</t>
        </is>
      </c>
      <c r="I377" s="18" t="inlineStr">
        <is>
          <t>O somatorio de capacidade nao lista frente de suprimento: 'Central, rotas e chamadas 12 | Ofertas e cadastros 6 | Tres pecas editoriais 15 | Demonstracoes 15 | Publicacao e agenda 5 | Teste e conferencia 7 | Total 60'.</t>
        </is>
      </c>
      <c r="J377" s="17" t="inlineStr">
        <is>
          <t>strong</t>
        </is>
      </c>
      <c r="K377" s="17" t="inlineStr">
        <is>
          <t>0.85</t>
        </is>
      </c>
      <c r="L377" s="17" t="inlineStr">
        <is>
          <t>gap</t>
        </is>
      </c>
    </row>
    <row r="378">
      <c r="A378" s="17" t="inlineStr">
        <is>
          <t>EV-ec5412b997</t>
        </is>
      </c>
      <c r="B378" s="17" t="inlineStr">
        <is>
          <t>strategic_analysis</t>
        </is>
      </c>
      <c r="C378" s="17" t="inlineStr">
        <is>
          <t>r2</t>
        </is>
      </c>
      <c r="D378" s="18" t="inlineStr">
        <is>
          <t>A edicao interativa exige capacidade de desenvolvimento web (salvar progresso, quizzes, personalizacao, exportacao) que nao esta orcada em horas.</t>
        </is>
      </c>
      <c r="E378" s="17" t="inlineStr">
        <is>
          <t>SA-07B</t>
        </is>
      </c>
      <c r="F378" s="17" t="inlineStr">
        <is>
          <t>capabilities</t>
        </is>
      </c>
      <c r="G378" s="17" t="inlineStr">
        <is>
          <t>ECO-05</t>
        </is>
      </c>
      <c r="H378" s="17" t="inlineStr">
        <is>
          <t>DOC-C05-001</t>
        </is>
      </c>
      <c r="I378" s="18" t="inlineStr">
        <is>
          <t>Ecossistema, 'O que torna o e-book realmente interativo': 'Botoes, escolhas, checklists, quizzes, formularios, templates', 'Personalizacao: Resultado das respostas muda a proxima recomendacao', 'Salvar progresso', 'Exportar', 'Retomada'; 'A experiencia interna fica mais proxima de um microaplicativo editorial'.</t>
        </is>
      </c>
      <c r="J378" s="17" t="inlineStr">
        <is>
          <t>strong</t>
        </is>
      </c>
      <c r="K378" s="17" t="inlineStr">
        <is>
          <t>0.85</t>
        </is>
      </c>
      <c r="L378" s="17" t="inlineStr">
        <is>
          <t>inference</t>
        </is>
      </c>
    </row>
    <row r="379">
      <c r="A379" s="17" t="inlineStr">
        <is>
          <t>EV-2a04cb8148</t>
        </is>
      </c>
      <c r="B379" s="17" t="inlineStr">
        <is>
          <t>strategic_analysis</t>
        </is>
      </c>
      <c r="C379" s="17" t="inlineStr">
        <is>
          <t>r2</t>
        </is>
      </c>
      <c r="D379" s="18" t="inlineStr">
        <is>
          <t>A capacidade total do operador esta declarada em 6 horas executaveis por dia, com 60h comprometidas e 12h de reserva ate 05/09.</t>
        </is>
      </c>
      <c r="E379" s="17" t="inlineStr">
        <is>
          <t>SA-07B</t>
        </is>
      </c>
      <c r="F379" s="17" t="inlineStr">
        <is>
          <t>capabilities</t>
        </is>
      </c>
      <c r="G379" s="17" t="inlineStr">
        <is>
          <t>ECO-08</t>
        </is>
      </c>
      <c r="H379" s="17" t="inlineStr">
        <is>
          <t>DOC-C05-001</t>
        </is>
      </c>
      <c r="I379" s="18" t="inlineStr">
        <is>
          <t>Ecossistema: 'Com sua capacidade operacional ja definida de 6 horas executaveis/dia, existem 72 horas potenciais nesses 12 dias. Minha recomendacao: 60h comprometidas + 12h de reserva. Ou seja: planejar apenas 83% da capacidade'; DOC-C08-008 repete 'Total comprometido 60 | Reserva 12 | Capacidade total estimada 72'.</t>
        </is>
      </c>
      <c r="J379" s="17" t="inlineStr">
        <is>
          <t>strong</t>
        </is>
      </c>
      <c r="K379" s="17" t="inlineStr">
        <is>
          <t>0.9</t>
        </is>
      </c>
      <c r="L379" s="17" t="inlineStr">
        <is>
          <t>fact</t>
        </is>
      </c>
    </row>
    <row r="380">
      <c r="A380" s="17" t="inlineStr">
        <is>
          <t>EV-966baa4635</t>
        </is>
      </c>
      <c r="B380" s="17" t="inlineStr">
        <is>
          <t>strategic_analysis</t>
        </is>
      </c>
      <c r="C380" s="17" t="inlineStr">
        <is>
          <t>r2</t>
        </is>
      </c>
      <c r="D380" s="18" t="inlineStr">
        <is>
          <t>A capacidade total do operador esta declarada em 6 horas executaveis por dia, com 60h comprometidas e 12h de reserva ate 05/09.</t>
        </is>
      </c>
      <c r="E380" s="17" t="inlineStr">
        <is>
          <t>SA-07B</t>
        </is>
      </c>
      <c r="F380" s="17" t="inlineStr">
        <is>
          <t>capabilities</t>
        </is>
      </c>
      <c r="G380" s="17" t="inlineStr">
        <is>
          <t>ECO-08</t>
        </is>
      </c>
      <c r="H380" s="17" t="inlineStr">
        <is>
          <t>DOC-C08-008</t>
        </is>
      </c>
      <c r="I380" s="18" t="inlineStr">
        <is>
          <t>Ecossistema: 'Com sua capacidade operacional ja definida de 6 horas executaveis/dia, existem 72 horas potenciais nesses 12 dias. Minha recomendacao: 60h comprometidas + 12h de reserva. Ou seja: planejar apenas 83% da capacidade'; DOC-C08-008 repete 'Total comprometido 60 | Reserva 12 | Capacidade total estimada 72'.</t>
        </is>
      </c>
      <c r="J380" s="17" t="inlineStr">
        <is>
          <t>strong</t>
        </is>
      </c>
      <c r="K380" s="17" t="inlineStr">
        <is>
          <t>0.9</t>
        </is>
      </c>
      <c r="L380" s="17" t="inlineStr">
        <is>
          <t>fact</t>
        </is>
      </c>
    </row>
    <row r="381">
      <c r="A381" s="17" t="inlineStr">
        <is>
          <t>EV-9c85cd410f</t>
        </is>
      </c>
      <c r="B381" s="17" t="inlineStr">
        <is>
          <t>strategic_analysis</t>
        </is>
      </c>
      <c r="C381" s="17" t="inlineStr">
        <is>
          <t>r2</t>
        </is>
      </c>
      <c r="D381" s="18" t="inlineStr">
        <is>
          <t>Nao ha capacidade alocada para producao do livro autoral no cronograma de lancamento.</t>
        </is>
      </c>
      <c r="E381" s="17" t="inlineStr">
        <is>
          <t>SA-07B</t>
        </is>
      </c>
      <c r="F381" s="17" t="inlineStr">
        <is>
          <t>capabilities</t>
        </is>
      </c>
      <c r="G381" s="17" t="inlineStr">
        <is>
          <t>ECO-06</t>
        </is>
      </c>
      <c r="H381" s="17" t="inlineStr">
        <is>
          <t>DOC-C05-001</t>
        </is>
      </c>
      <c r="I381" s="18" t="inlineStr">
        <is>
          <t>As doze linhas do cronograma D1 a D12 em DOC-C05-001 cobrem control plane, destinos, commerce, tres pecas editoriais, tres showrooms, CMS, QA e freeze; nenhuma menciona livro, white paper ou scoping review.</t>
        </is>
      </c>
      <c r="J381" s="17" t="inlineStr">
        <is>
          <t>strong</t>
        </is>
      </c>
      <c r="K381" s="17" t="inlineStr">
        <is>
          <t>0.85</t>
        </is>
      </c>
      <c r="L381" s="17" t="inlineStr">
        <is>
          <t>fact</t>
        </is>
      </c>
    </row>
    <row r="382">
      <c r="A382" s="17" t="inlineStr">
        <is>
          <t>EV-ec49c868dc</t>
        </is>
      </c>
      <c r="B382" s="17" t="inlineStr">
        <is>
          <t>strategic_analysis</t>
        </is>
      </c>
      <c r="C382" s="17" t="inlineStr">
        <is>
          <t>r2</t>
        </is>
      </c>
      <c r="D382" s="18" t="inlineStr">
        <is>
          <t>Nao ha capacidade alocada para producao do livro autoral no cronograma de lancamento.</t>
        </is>
      </c>
      <c r="E382" s="17" t="inlineStr">
        <is>
          <t>SA-07B</t>
        </is>
      </c>
      <c r="F382" s="17" t="inlineStr">
        <is>
          <t>capabilities</t>
        </is>
      </c>
      <c r="G382" s="17" t="inlineStr">
        <is>
          <t>ECO-06</t>
        </is>
      </c>
      <c r="H382" s="17" t="inlineStr">
        <is>
          <t>DOC-C08-008</t>
        </is>
      </c>
      <c r="I382" s="18" t="inlineStr">
        <is>
          <t>As doze linhas do cronograma D1 a D12 em DOC-C05-001 cobrem control plane, destinos, commerce, tres pecas editoriais, tres showrooms, CMS, QA e freeze; nenhuma menciona livro, white paper ou scoping review.</t>
        </is>
      </c>
      <c r="J382" s="17" t="inlineStr">
        <is>
          <t>strong</t>
        </is>
      </c>
      <c r="K382" s="17" t="inlineStr">
        <is>
          <t>0.85</t>
        </is>
      </c>
      <c r="L382" s="17" t="inlineStr">
        <is>
          <t>fact</t>
        </is>
      </c>
    </row>
    <row r="383">
      <c r="A383" s="17" t="inlineStr">
        <is>
          <t>EV-919c323ebc</t>
        </is>
      </c>
      <c r="B383" s="17" t="inlineStr">
        <is>
          <t>strategic_analysis</t>
        </is>
      </c>
      <c r="C383" s="17" t="inlineStr">
        <is>
          <t>r2</t>
        </is>
      </c>
      <c r="D383" s="18" t="inlineStr">
        <is>
          <t>A empresa define o Office Kit como hero product e a linha fisica como sistema integrado, com roupas explicitamente fora da primeira fase.</t>
        </is>
      </c>
      <c r="E383" s="17" t="inlineStr">
        <is>
          <t>SA-08A</t>
        </is>
      </c>
      <c r="F383" s="17" t="inlineStr">
        <is>
          <t>company</t>
        </is>
      </c>
      <c r="G383" s="17" t="inlineStr">
        <is>
          <t>ECO-04</t>
        </is>
      </c>
      <c r="H383" s="17" t="inlineStr">
        <is>
          <t>DOC-C05-001</t>
        </is>
      </c>
      <c r="I383" s="18" t="inlineStr">
        <is>
          <t>Ecossistema, Master Index Produtos Fisicos: 'P0 Executar Office Kit - Produto principal / bundle - Prioridade maxima. Pre-venda/teste de intencao antes de estoque relevante'; 'P4 Roupas - Fora do escopo atual - As roupas mostradas no conceito visual nao entram nesta primeira fase - Nao lancar agora'.</t>
        </is>
      </c>
      <c r="J383" s="17" t="inlineStr">
        <is>
          <t>strong</t>
        </is>
      </c>
      <c r="K383" s="17" t="inlineStr">
        <is>
          <t>0.9</t>
        </is>
      </c>
      <c r="L383" s="17" t="inlineStr">
        <is>
          <t>fact</t>
        </is>
      </c>
    </row>
    <row r="384">
      <c r="A384" s="17" t="inlineStr">
        <is>
          <t>EV-cc3264dd5e</t>
        </is>
      </c>
      <c r="B384" s="17" t="inlineStr">
        <is>
          <t>strategic_analysis</t>
        </is>
      </c>
      <c r="C384" s="17" t="inlineStr">
        <is>
          <t>r2</t>
        </is>
      </c>
      <c r="D384" s="18" t="inlineStr">
        <is>
          <t>A empresa define o Office Kit como hero product e a linha fisica como sistema integrado, com roupas explicitamente fora da primeira fase.</t>
        </is>
      </c>
      <c r="E384" s="17" t="inlineStr">
        <is>
          <t>SA-08A</t>
        </is>
      </c>
      <c r="F384" s="17" t="inlineStr">
        <is>
          <t>company</t>
        </is>
      </c>
      <c r="G384" s="17" t="inlineStr">
        <is>
          <t>ECO-04</t>
        </is>
      </c>
      <c r="H384" s="17" t="inlineStr">
        <is>
          <t>DOC-C09-008</t>
        </is>
      </c>
      <c r="I384" s="18" t="inlineStr">
        <is>
          <t>Ecossistema, Master Index Produtos Fisicos: 'P0 Executar Office Kit - Produto principal / bundle - Prioridade maxima. Pre-venda/teste de intencao antes de estoque relevante'; 'P4 Roupas - Fora do escopo atual - As roupas mostradas no conceito visual nao entram nesta primeira fase - Nao lancar agora'.</t>
        </is>
      </c>
      <c r="J384" s="17" t="inlineStr">
        <is>
          <t>strong</t>
        </is>
      </c>
      <c r="K384" s="17" t="inlineStr">
        <is>
          <t>0.9</t>
        </is>
      </c>
      <c r="L384" s="17" t="inlineStr">
        <is>
          <t>fact</t>
        </is>
      </c>
    </row>
    <row r="385">
      <c r="A385" s="17" t="inlineStr">
        <is>
          <t>EV-c8117ac6cd</t>
        </is>
      </c>
      <c r="B385" s="17" t="inlineStr">
        <is>
          <t>strategic_analysis</t>
        </is>
      </c>
      <c r="C385" s="17" t="inlineStr">
        <is>
          <t>r2</t>
        </is>
      </c>
      <c r="D385" s="18" t="inlineStr">
        <is>
          <t>A empresa define o curso como produto-mae e os e-books como recortes aplicados, e nao como quatro produtos independentes.</t>
        </is>
      </c>
      <c r="E385" s="17" t="inlineStr">
        <is>
          <t>SA-08A</t>
        </is>
      </c>
      <c r="F385" s="17" t="inlineStr">
        <is>
          <t>company</t>
        </is>
      </c>
      <c r="G385" s="17" t="inlineStr">
        <is>
          <t>ECO-05</t>
        </is>
      </c>
      <c r="H385" s="17" t="inlineStr">
        <is>
          <t>DOC-C05-001</t>
        </is>
      </c>
      <c r="I385" s="18" t="inlineStr">
        <is>
          <t>Ecossistema: 'Eu nao trataria o curso e os tres e-books como quatro conteudos independentes. O curso e o produto-mae; os e-books sao recortes aplicados e aprofundamentos'; DOC-C09-016: 'Livros digitais funcionam como produto de entrada e aplicacao. Curso funciona como aplicacao guiada.'</t>
        </is>
      </c>
      <c r="J385" s="17" t="inlineStr">
        <is>
          <t>strong</t>
        </is>
      </c>
      <c r="K385" s="17" t="inlineStr">
        <is>
          <t>0.9</t>
        </is>
      </c>
      <c r="L385" s="17" t="inlineStr">
        <is>
          <t>fact</t>
        </is>
      </c>
    </row>
    <row r="386">
      <c r="A386" s="17" t="inlineStr">
        <is>
          <t>EV-14f1cafeb4</t>
        </is>
      </c>
      <c r="B386" s="17" t="inlineStr">
        <is>
          <t>strategic_analysis</t>
        </is>
      </c>
      <c r="C386" s="17" t="inlineStr">
        <is>
          <t>r2</t>
        </is>
      </c>
      <c r="D386" s="18" t="inlineStr">
        <is>
          <t>A empresa define o curso como produto-mae e os e-books como recortes aplicados, e nao como quatro produtos independentes.</t>
        </is>
      </c>
      <c r="E386" s="17" t="inlineStr">
        <is>
          <t>SA-08A</t>
        </is>
      </c>
      <c r="F386" s="17" t="inlineStr">
        <is>
          <t>company</t>
        </is>
      </c>
      <c r="G386" s="17" t="inlineStr">
        <is>
          <t>ECO-05</t>
        </is>
      </c>
      <c r="H386" s="17" t="inlineStr">
        <is>
          <t>DOC-C09-016</t>
        </is>
      </c>
      <c r="I386" s="18" t="inlineStr">
        <is>
          <t>Ecossistema: 'Eu nao trataria o curso e os tres e-books como quatro conteudos independentes. O curso e o produto-mae; os e-books sao recortes aplicados e aprofundamentos'; DOC-C09-016: 'Livros digitais funcionam como produto de entrada e aplicacao. Curso funciona como aplicacao guiada.'</t>
        </is>
      </c>
      <c r="J386" s="17" t="inlineStr">
        <is>
          <t>strong</t>
        </is>
      </c>
      <c r="K386" s="17" t="inlineStr">
        <is>
          <t>0.9</t>
        </is>
      </c>
      <c r="L386" s="17" t="inlineStr">
        <is>
          <t>fact</t>
        </is>
      </c>
    </row>
    <row r="387">
      <c r="A387" s="17" t="inlineStr">
        <is>
          <t>EV-ab9e8659a2</t>
        </is>
      </c>
      <c r="B387" s="17" t="inlineStr">
        <is>
          <t>strategic_analysis</t>
        </is>
      </c>
      <c r="C387" s="17" t="inlineStr">
        <is>
          <t>r2</t>
        </is>
      </c>
      <c r="D387" s="18" t="inlineStr">
        <is>
          <t>Do lado do cliente, o acervo tem estrutura de produto detalhada e nenhuma evidencia de demanda validada para infoprodutos.</t>
        </is>
      </c>
      <c r="E387" s="17" t="inlineStr">
        <is>
          <t>SA-08B</t>
        </is>
      </c>
      <c r="F387" s="17" t="inlineStr">
        <is>
          <t>customer</t>
        </is>
      </c>
      <c r="G387" s="17" t="inlineStr">
        <is>
          <t>ECO-05</t>
        </is>
      </c>
      <c r="H387" s="17" t="inlineStr">
        <is>
          <t>DOC-C07-009</t>
        </is>
      </c>
      <c r="I387" s="18" t="inlineStr">
        <is>
          <t>Dashboard QL-000058, 'Decisao de Gate 1 - testar mais': 'A equipe decidiu, no Gate 1 do processo, que o proximo passo e testar mais antes de avancar para o desenvolvimento completo do aplicativo, dado que ainda faltam validacoes de disposicao de pagamento e eficacia da proposta de valor'.</t>
        </is>
      </c>
      <c r="J387" s="17" t="inlineStr">
        <is>
          <t>moderate</t>
        </is>
      </c>
      <c r="K387" s="17" t="inlineStr">
        <is>
          <t>0.8</t>
        </is>
      </c>
      <c r="L387" s="17" t="inlineStr">
        <is>
          <t>gap</t>
        </is>
      </c>
    </row>
    <row r="388">
      <c r="A388" s="17" t="inlineStr">
        <is>
          <t>EV-07930bed83</t>
        </is>
      </c>
      <c r="B388" s="17" t="inlineStr">
        <is>
          <t>strategic_analysis</t>
        </is>
      </c>
      <c r="C388" s="17" t="inlineStr">
        <is>
          <t>r2</t>
        </is>
      </c>
      <c r="D388" s="18" t="inlineStr">
        <is>
          <t>Do lado do concorrente, o Timer 45 e o unico SKU com concorrencia observada, e ela e de marketplace com preco visivel e avaliacao publica.</t>
        </is>
      </c>
      <c r="E388" s="17" t="inlineStr">
        <is>
          <t>SA-08C</t>
        </is>
      </c>
      <c r="F388" s="17" t="inlineStr">
        <is>
          <t>competitor</t>
        </is>
      </c>
      <c r="G388" s="17" t="inlineStr">
        <is>
          <t>ECO-04</t>
        </is>
      </c>
      <c r="H388" s="17" t="inlineStr">
        <is>
          <t>DOC-C13-010</t>
        </is>
      </c>
      <c r="I388" s="18" t="inlineStr">
        <is>
          <t>Referencia visual Timer 45: 'Temporizador Cubo | Mercado Livre... Rating for mercadolivre.com.br: 4.7 - 2,450 reviews', 'Frete gratis 1a compra', 'Ate 21x sem juros'.</t>
        </is>
      </c>
      <c r="J388" s="17" t="inlineStr">
        <is>
          <t>moderate</t>
        </is>
      </c>
      <c r="K388" s="17" t="inlineStr">
        <is>
          <t>0.8</t>
        </is>
      </c>
      <c r="L388" s="17" t="inlineStr">
        <is>
          <t>fact</t>
        </is>
      </c>
    </row>
    <row r="389">
      <c r="A389" s="17" t="inlineStr">
        <is>
          <t>EV-56559891ef</t>
        </is>
      </c>
      <c r="B389" s="17" t="inlineStr">
        <is>
          <t>strategic_analysis</t>
        </is>
      </c>
      <c r="C389" s="17" t="inlineStr">
        <is>
          <t>r2</t>
        </is>
      </c>
      <c r="D389" s="18" t="inlineStr">
        <is>
          <t>O acervo compara o produto com ferramentas de produtividade generalistas, o que define o campo competitivo do conteudo tambem.</t>
        </is>
      </c>
      <c r="E389" s="17" t="inlineStr">
        <is>
          <t>SA-08C</t>
        </is>
      </c>
      <c r="F389" s="17" t="inlineStr">
        <is>
          <t>competitor</t>
        </is>
      </c>
      <c r="G389" s="17" t="inlineStr">
        <is>
          <t>ECO-08</t>
        </is>
      </c>
      <c r="H389" s="17" t="inlineStr">
        <is>
          <t>DOC-C07-009</t>
        </is>
      </c>
      <c r="I389" s="18" t="inlineStr">
        <is>
          <t>Dashboard QL-000054: 'O Todoist e descrito como eficiente para captura rapida de tarefas, mas limitado para iniciar tarefas'; QL-000053: 'O Trello e descrito como necessitando de plug-ins adicionais para rastrear progresso'; QL-000056: 'adultos com TDAH tenderiam a abandonar sistemas complexos como o Notion'.</t>
        </is>
      </c>
      <c r="J389" s="17" t="inlineStr">
        <is>
          <t>moderate</t>
        </is>
      </c>
      <c r="K389" s="17" t="inlineStr">
        <is>
          <t>0.75</t>
        </is>
      </c>
      <c r="L389" s="17" t="inlineStr">
        <is>
          <t>fact</t>
        </is>
      </c>
    </row>
    <row r="390">
      <c r="A390" s="17" t="inlineStr">
        <is>
          <t>EV-c815008a46</t>
        </is>
      </c>
      <c r="B390" s="17" t="inlineStr">
        <is>
          <t>strategic_analysis</t>
        </is>
      </c>
      <c r="C390" s="17" t="inlineStr">
        <is>
          <t>r2</t>
        </is>
      </c>
      <c r="D390" s="18" t="inlineStr">
        <is>
          <t>O Neurobook e o unico SKU proprietario da linha e concentra a liberdade de preco.</t>
        </is>
      </c>
      <c r="E390" s="17" t="inlineStr">
        <is>
          <t>SA-09A</t>
        </is>
      </c>
      <c r="F390" s="17" t="inlineStr">
        <is>
          <t>strength</t>
        </is>
      </c>
      <c r="G390" s="17" t="inlineStr">
        <is>
          <t>ECO-04</t>
        </is>
      </c>
      <c r="H390" s="17" t="inlineStr">
        <is>
          <t>DOC-C05-001</t>
        </is>
      </c>
      <c r="I390" s="18" t="inlineStr">
        <is>
          <t>Ecossistema: 'Neurobook - Produto proprietario - Maior capacidade de diferenciacao e, portanto, maior liberdade de preco'; 'O Neurobook e o Office Kit tem mais capacidade de carregar valor de marca e metodologia'; DOC-C09-008 define o Neurobook como 'nucleo analogico'.</t>
        </is>
      </c>
      <c r="J390" s="17" t="inlineStr">
        <is>
          <t>strong</t>
        </is>
      </c>
      <c r="K390" s="17" t="inlineStr">
        <is>
          <t>0.85</t>
        </is>
      </c>
      <c r="L390" s="17" t="inlineStr">
        <is>
          <t>fact</t>
        </is>
      </c>
    </row>
    <row r="391">
      <c r="A391" s="17" t="inlineStr">
        <is>
          <t>EV-66e55bce66</t>
        </is>
      </c>
      <c r="B391" s="17" t="inlineStr">
        <is>
          <t>strategic_analysis</t>
        </is>
      </c>
      <c r="C391" s="17" t="inlineStr">
        <is>
          <t>r2</t>
        </is>
      </c>
      <c r="D391" s="18" t="inlineStr">
        <is>
          <t>O Neurobook e o unico SKU proprietario da linha e concentra a liberdade de preco.</t>
        </is>
      </c>
      <c r="E391" s="17" t="inlineStr">
        <is>
          <t>SA-09A</t>
        </is>
      </c>
      <c r="F391" s="17" t="inlineStr">
        <is>
          <t>strength</t>
        </is>
      </c>
      <c r="G391" s="17" t="inlineStr">
        <is>
          <t>ECO-04</t>
        </is>
      </c>
      <c r="H391" s="17" t="inlineStr">
        <is>
          <t>DOC-C09-008</t>
        </is>
      </c>
      <c r="I391" s="18" t="inlineStr">
        <is>
          <t>Ecossistema: 'Neurobook - Produto proprietario - Maior capacidade de diferenciacao e, portanto, maior liberdade de preco'; 'O Neurobook e o Office Kit tem mais capacidade de carregar valor de marca e metodologia'; DOC-C09-008 define o Neurobook como 'nucleo analogico'.</t>
        </is>
      </c>
      <c r="J391" s="17" t="inlineStr">
        <is>
          <t>strong</t>
        </is>
      </c>
      <c r="K391" s="17" t="inlineStr">
        <is>
          <t>0.85</t>
        </is>
      </c>
      <c r="L391" s="17" t="inlineStr">
        <is>
          <t>fact</t>
        </is>
      </c>
    </row>
    <row r="392">
      <c r="A392" s="17" t="inlineStr">
        <is>
          <t>EV-b71fd31aec</t>
        </is>
      </c>
      <c r="B392" s="17" t="inlineStr">
        <is>
          <t>strategic_analysis</t>
        </is>
      </c>
      <c r="C392" s="17" t="inlineStr">
        <is>
          <t>r2</t>
        </is>
      </c>
      <c r="D392" s="18" t="inlineStr">
        <is>
          <t>O 4E funciona como espinha proprietaria unica entre e-books, curso, editorial e produto fisico, o que reduz custo de criacao e aumenta coerencia de marca.</t>
        </is>
      </c>
      <c r="E392" s="17" t="inlineStr">
        <is>
          <t>SA-09A</t>
        </is>
      </c>
      <c r="F392" s="17" t="inlineStr">
        <is>
          <t>strength</t>
        </is>
      </c>
      <c r="G392" s="17" t="inlineStr">
        <is>
          <t>ECO-05</t>
        </is>
      </c>
      <c r="H392" s="17" t="inlineStr">
        <is>
          <t>DOC-C05-001</t>
        </is>
      </c>
      <c r="I392" s="18" t="inlineStr">
        <is>
          <t>Ecossistema: 'A mesma arquitetura deve aparecer em todos os e-books, cursos, workshops e conteudos educacionais'; 'Use o mesmo 4E dos infoprodutos. Isso cria linguagem unica para a marca inteira'; DOC-C09-016: 'Estrutura comum: Entender, Estruturar, Executar, Evoluir'.</t>
        </is>
      </c>
      <c r="J392" s="17" t="inlineStr">
        <is>
          <t>strong</t>
        </is>
      </c>
      <c r="K392" s="17" t="inlineStr">
        <is>
          <t>0.9</t>
        </is>
      </c>
      <c r="L392" s="17" t="inlineStr">
        <is>
          <t>fact</t>
        </is>
      </c>
    </row>
    <row r="393">
      <c r="A393" s="17" t="inlineStr">
        <is>
          <t>EV-3cbabaa49a</t>
        </is>
      </c>
      <c r="B393" s="17" t="inlineStr">
        <is>
          <t>strategic_analysis</t>
        </is>
      </c>
      <c r="C393" s="17" t="inlineStr">
        <is>
          <t>r2</t>
        </is>
      </c>
      <c r="D393" s="18" t="inlineStr">
        <is>
          <t>O 4E funciona como espinha proprietaria unica entre e-books, curso, editorial e produto fisico, o que reduz custo de criacao e aumenta coerencia de marca.</t>
        </is>
      </c>
      <c r="E393" s="17" t="inlineStr">
        <is>
          <t>SA-09A</t>
        </is>
      </c>
      <c r="F393" s="17" t="inlineStr">
        <is>
          <t>strength</t>
        </is>
      </c>
      <c r="G393" s="17" t="inlineStr">
        <is>
          <t>ECO-05</t>
        </is>
      </c>
      <c r="H393" s="17" t="inlineStr">
        <is>
          <t>DOC-C09-016</t>
        </is>
      </c>
      <c r="I393" s="18" t="inlineStr">
        <is>
          <t>Ecossistema: 'A mesma arquitetura deve aparecer em todos os e-books, cursos, workshops e conteudos educacionais'; 'Use o mesmo 4E dos infoprodutos. Isso cria linguagem unica para a marca inteira'; DOC-C09-016: 'Estrutura comum: Entender, Estruturar, Executar, Evoluir'.</t>
        </is>
      </c>
      <c r="J393" s="17" t="inlineStr">
        <is>
          <t>strong</t>
        </is>
      </c>
      <c r="K393" s="17" t="inlineStr">
        <is>
          <t>0.9</t>
        </is>
      </c>
      <c r="L393" s="17" t="inlineStr">
        <is>
          <t>fact</t>
        </is>
      </c>
    </row>
    <row r="394">
      <c r="A394" s="17" t="inlineStr">
        <is>
          <t>EV-68e2e12b9a</t>
        </is>
      </c>
      <c r="B394" s="17" t="inlineStr">
        <is>
          <t>strategic_analysis</t>
        </is>
      </c>
      <c r="C394" s="17" t="inlineStr">
        <is>
          <t>r2</t>
        </is>
      </c>
      <c r="D394" s="18" t="inlineStr">
        <is>
          <t>O 4E funciona como espinha proprietaria unica entre e-books, curso, editorial e produto fisico, o que reduz custo de criacao e aumenta coerencia de marca.</t>
        </is>
      </c>
      <c r="E394" s="17" t="inlineStr">
        <is>
          <t>SA-09A</t>
        </is>
      </c>
      <c r="F394" s="17" t="inlineStr">
        <is>
          <t>strength</t>
        </is>
      </c>
      <c r="G394" s="17" t="inlineStr">
        <is>
          <t>ECO-05</t>
        </is>
      </c>
      <c r="H394" s="17" t="inlineStr">
        <is>
          <t>DOC-C09-013</t>
        </is>
      </c>
      <c r="I394" s="18" t="inlineStr">
        <is>
          <t>Ecossistema: 'A mesma arquitetura deve aparecer em todos os e-books, cursos, workshops e conteudos educacionais'; 'Use o mesmo 4E dos infoprodutos. Isso cria linguagem unica para a marca inteira'; DOC-C09-016: 'Estrutura comum: Entender, Estruturar, Executar, Evoluir'.</t>
        </is>
      </c>
      <c r="J394" s="17" t="inlineStr">
        <is>
          <t>strong</t>
        </is>
      </c>
      <c r="K394" s="17" t="inlineStr">
        <is>
          <t>0.9</t>
        </is>
      </c>
      <c r="L394" s="17" t="inlineStr">
        <is>
          <t>fact</t>
        </is>
      </c>
    </row>
    <row r="395">
      <c r="A395" s="17" t="inlineStr">
        <is>
          <t>EV-bd1a7db572</t>
        </is>
      </c>
      <c r="B395" s="17" t="inlineStr">
        <is>
          <t>strategic_analysis</t>
        </is>
      </c>
      <c r="C395" s="17" t="inlineStr">
        <is>
          <t>r2</t>
        </is>
      </c>
      <c r="D395" s="18" t="inlineStr">
        <is>
          <t>A matriz de 3 pilares por 4 fases cria 12 territorios editoriais permanentes, resolvendo o problema de pauta sem inventar categorias novas.</t>
        </is>
      </c>
      <c r="E395" s="17" t="inlineStr">
        <is>
          <t>SA-09A</t>
        </is>
      </c>
      <c r="F395" s="17" t="inlineStr">
        <is>
          <t>strength</t>
        </is>
      </c>
      <c r="G395" s="17" t="inlineStr">
        <is>
          <t>ECO-08</t>
        </is>
      </c>
      <c r="H395" s="17" t="inlineStr">
        <is>
          <t>DOC-C05-001</t>
        </is>
      </c>
      <c r="I395" s="18" t="inlineStr">
        <is>
          <t>Ecossistema: 'Agora existe uma matriz 3 x 4 = 12 territorios editoriais permanentes. Isso ja e suficiente para produzir conteudo por anos sem inventar novas categorias'; pilares 'TDAH x Tarefas, Processos e Projetos | TDAH x Risk Management | Funcoes Executivas'.</t>
        </is>
      </c>
      <c r="J395" s="17" t="inlineStr">
        <is>
          <t>strong</t>
        </is>
      </c>
      <c r="K395" s="17" t="inlineStr">
        <is>
          <t>0.9</t>
        </is>
      </c>
      <c r="L395" s="17" t="inlineStr">
        <is>
          <t>fact</t>
        </is>
      </c>
    </row>
    <row r="396">
      <c r="A396" s="17" t="inlineStr">
        <is>
          <t>EV-ad6937d17e</t>
        </is>
      </c>
      <c r="B396" s="17" t="inlineStr">
        <is>
          <t>strategic_analysis</t>
        </is>
      </c>
      <c r="C396" s="17" t="inlineStr">
        <is>
          <t>r2</t>
        </is>
      </c>
      <c r="D396" s="18" t="inlineStr">
        <is>
          <t>A linha fisica entra no lancamento sem nenhum numero: sem custo, sem preco publicado, sem fornecedor e sem operacao de compra.</t>
        </is>
      </c>
      <c r="E396" s="17" t="inlineStr">
        <is>
          <t>SA-09B</t>
        </is>
      </c>
      <c r="F396" s="17" t="inlineStr">
        <is>
          <t>weakness</t>
        </is>
      </c>
      <c r="G396" s="17" t="inlineStr">
        <is>
          <t>ECO-04</t>
        </is>
      </c>
      <c r="H396" s="17" t="inlineStr">
        <is>
          <t>DOC-C09-008</t>
        </is>
      </c>
      <c r="I396" s="18" t="inlineStr">
        <is>
          <t>DOC-C09-008: 'Executar Office Kit - medir intencao | Neurobook - preparar apresentacao/lista | Timer 45 - validar custo e preco | Kit de organizacao fisica - preparar apresentacao/lista'; Regra: 'No lancamento, priorizar pagina, lista de interesse e proposta de conjunto quando a operacao de compra ainda nao estiver pronta'.</t>
        </is>
      </c>
      <c r="J396" s="17" t="inlineStr">
        <is>
          <t>strong</t>
        </is>
      </c>
      <c r="K396" s="17" t="inlineStr">
        <is>
          <t>0.9</t>
        </is>
      </c>
      <c r="L396" s="17" t="inlineStr">
        <is>
          <t>fact</t>
        </is>
      </c>
    </row>
    <row r="397">
      <c r="A397" s="17" t="inlineStr">
        <is>
          <t>EV-94760e96c3</t>
        </is>
      </c>
      <c r="B397" s="17" t="inlineStr">
        <is>
          <t>strategic_analysis</t>
        </is>
      </c>
      <c r="C397" s="17" t="inlineStr">
        <is>
          <t>r2</t>
        </is>
      </c>
      <c r="D397" s="18" t="inlineStr">
        <is>
          <t>Nenhum manuscrito, sumario ou capitulo dos livros digitais existe no acervo; existe apenas a especificacao editorial.</t>
        </is>
      </c>
      <c r="E397" s="17" t="inlineStr">
        <is>
          <t>SA-09B</t>
        </is>
      </c>
      <c r="F397" s="17" t="inlineStr">
        <is>
          <t>weakness</t>
        </is>
      </c>
      <c r="G397" s="17" t="inlineStr">
        <is>
          <t>ECO-06</t>
        </is>
      </c>
      <c r="H397" s="17" t="inlineStr">
        <is>
          <t>DOC-C09-011</t>
        </is>
      </c>
      <c r="I397" s="18" t="inlineStr">
        <is>
          <t>DOC-C09-011 marca os tres titulos como 'estruturar cadastro'; DOC-C13-004 registra que as imagens sao 'referencias de direcao visual e produto' e adverte: 'nao confunda referencia com material aprovado para publicacao'.</t>
        </is>
      </c>
      <c r="J397" s="17" t="inlineStr">
        <is>
          <t>strong</t>
        </is>
      </c>
      <c r="K397" s="17" t="inlineStr">
        <is>
          <t>0.9</t>
        </is>
      </c>
      <c r="L397" s="17" t="inlineStr">
        <is>
          <t>fact</t>
        </is>
      </c>
    </row>
    <row r="398">
      <c r="A398" s="17" t="inlineStr">
        <is>
          <t>EV-e7dc2b5d47</t>
        </is>
      </c>
      <c r="B398" s="17" t="inlineStr">
        <is>
          <t>strategic_analysis</t>
        </is>
      </c>
      <c r="C398" s="17" t="inlineStr">
        <is>
          <t>r2</t>
        </is>
      </c>
      <c r="D398" s="18" t="inlineStr">
        <is>
          <t>Nenhum manuscrito, sumario ou capitulo dos livros digitais existe no acervo; existe apenas a especificacao editorial.</t>
        </is>
      </c>
      <c r="E398" s="17" t="inlineStr">
        <is>
          <t>SA-09B</t>
        </is>
      </c>
      <c r="F398" s="17" t="inlineStr">
        <is>
          <t>weakness</t>
        </is>
      </c>
      <c r="G398" s="17" t="inlineStr">
        <is>
          <t>ECO-06</t>
        </is>
      </c>
      <c r="H398" s="17" t="inlineStr">
        <is>
          <t>DOC-C13-004</t>
        </is>
      </c>
      <c r="I398" s="18" t="inlineStr">
        <is>
          <t>DOC-C09-011 marca os tres titulos como 'estruturar cadastro'; DOC-C13-004 registra que as imagens sao 'referencias de direcao visual e produto' e adverte: 'nao confunda referencia com material aprovado para publicacao'.</t>
        </is>
      </c>
      <c r="J398" s="17" t="inlineStr">
        <is>
          <t>strong</t>
        </is>
      </c>
      <c r="K398" s="17" t="inlineStr">
        <is>
          <t>0.9</t>
        </is>
      </c>
      <c r="L398" s="17" t="inlineStr">
        <is>
          <t>fact</t>
        </is>
      </c>
    </row>
    <row r="399">
      <c r="A399" s="17" t="inlineStr">
        <is>
          <t>EV-8358c7487f</t>
        </is>
      </c>
      <c r="B399" s="17" t="inlineStr">
        <is>
          <t>strategic_analysis</t>
        </is>
      </c>
      <c r="C399" s="17" t="inlineStr">
        <is>
          <t>r2</t>
        </is>
      </c>
      <c r="D399" s="18" t="inlineStr">
        <is>
          <t>Toda a distribuicao planejada depende de plataformas de terceiros e nenhuma linha de base de audiencia esta registrada.</t>
        </is>
      </c>
      <c r="E399" s="17" t="inlineStr">
        <is>
          <t>SA-09B</t>
        </is>
      </c>
      <c r="F399" s="17" t="inlineStr">
        <is>
          <t>weakness</t>
        </is>
      </c>
      <c r="G399" s="17" t="inlineStr">
        <is>
          <t>ECO-08</t>
        </is>
      </c>
      <c r="H399" s="17" t="inlineStr">
        <is>
          <t>DOC-C02-039</t>
        </is>
      </c>
      <c r="I399" s="18" t="inlineStr">
        <is>
          <t>BMC: '18 ativos, pacote principal, % geral nao informado' e 'metricas nao informadas permanecem desconhecidas'; entregas previstas: 'baseline de visualizacoes, retencao, salvamentos, inscricoes e downloads' - ou seja, a linha de base ainda sera criada.</t>
        </is>
      </c>
      <c r="J399" s="17" t="inlineStr">
        <is>
          <t>strong</t>
        </is>
      </c>
      <c r="K399" s="17" t="inlineStr">
        <is>
          <t>0.85</t>
        </is>
      </c>
      <c r="L399" s="17" t="inlineStr">
        <is>
          <t>fact</t>
        </is>
      </c>
    </row>
    <row r="400">
      <c r="A400" s="17" t="inlineStr">
        <is>
          <t>EV-b73d45551f</t>
        </is>
      </c>
      <c r="B400" s="17" t="inlineStr">
        <is>
          <t>strategic_analysis</t>
        </is>
      </c>
      <c r="C400" s="17" t="inlineStr">
        <is>
          <t>r2</t>
        </is>
      </c>
      <c r="D400" s="18" t="inlineStr">
        <is>
          <t>Toda a distribuicao planejada depende de plataformas de terceiros e nenhuma linha de base de audiencia esta registrada.</t>
        </is>
      </c>
      <c r="E400" s="17" t="inlineStr">
        <is>
          <t>SA-09B</t>
        </is>
      </c>
      <c r="F400" s="17" t="inlineStr">
        <is>
          <t>weakness</t>
        </is>
      </c>
      <c r="G400" s="17" t="inlineStr">
        <is>
          <t>ECO-08</t>
        </is>
      </c>
      <c r="H400" s="17" t="inlineStr">
        <is>
          <t>DOC-C14-004</t>
        </is>
      </c>
      <c r="I400" s="18" t="inlineStr">
        <is>
          <t>BMC: '18 ativos, pacote principal, % geral nao informado' e 'metricas nao informadas permanecem desconhecidas'; entregas previstas: 'baseline de visualizacoes, retencao, salvamentos, inscricoes e downloads' - ou seja, a linha de base ainda sera criada.</t>
        </is>
      </c>
      <c r="J400" s="17" t="inlineStr">
        <is>
          <t>strong</t>
        </is>
      </c>
      <c r="K400" s="17" t="inlineStr">
        <is>
          <t>0.85</t>
        </is>
      </c>
      <c r="L400" s="17" t="inlineStr">
        <is>
          <t>fact</t>
        </is>
      </c>
    </row>
    <row r="401">
      <c r="A401" s="17" t="inlineStr">
        <is>
          <t>EV-60edf34f19</t>
        </is>
      </c>
      <c r="B401" s="17" t="inlineStr">
        <is>
          <t>strategic_analysis</t>
        </is>
      </c>
      <c r="C401" s="17" t="inlineStr">
        <is>
          <t>r2</t>
        </is>
      </c>
      <c r="D401" s="18" t="inlineStr">
        <is>
          <t>Toda a distribuicao planejada depende de plataformas de terceiros e nenhuma linha de base de audiencia esta registrada.</t>
        </is>
      </c>
      <c r="E401" s="17" t="inlineStr">
        <is>
          <t>SA-09B</t>
        </is>
      </c>
      <c r="F401" s="17" t="inlineStr">
        <is>
          <t>weakness</t>
        </is>
      </c>
      <c r="G401" s="17" t="inlineStr">
        <is>
          <t>ECO-08</t>
        </is>
      </c>
      <c r="H401" s="17" t="inlineStr">
        <is>
          <t>DOC-C14-005</t>
        </is>
      </c>
      <c r="I401" s="18" t="inlineStr">
        <is>
          <t>BMC: '18 ativos, pacote principal, % geral nao informado' e 'metricas nao informadas permanecem desconhecidas'; entregas previstas: 'baseline de visualizacoes, retencao, salvamentos, inscricoes e downloads' - ou seja, a linha de base ainda sera criada.</t>
        </is>
      </c>
      <c r="J401" s="17" t="inlineStr">
        <is>
          <t>strong</t>
        </is>
      </c>
      <c r="K401" s="17" t="inlineStr">
        <is>
          <t>0.85</t>
        </is>
      </c>
      <c r="L401" s="17" t="inlineStr">
        <is>
          <t>fact</t>
        </is>
      </c>
    </row>
    <row r="402">
      <c r="A402" s="17" t="inlineStr">
        <is>
          <t>EV-381e763690</t>
        </is>
      </c>
      <c r="B402" s="17" t="inlineStr">
        <is>
          <t>strategic_analysis</t>
        </is>
      </c>
      <c r="C402" s="17" t="inlineStr">
        <is>
          <t>r2</t>
        </is>
      </c>
      <c r="D402" s="18" t="inlineStr">
        <is>
          <t>Toda a distribuicao planejada depende de plataformas de terceiros e nenhuma linha de base de audiencia esta registrada.</t>
        </is>
      </c>
      <c r="E402" s="17" t="inlineStr">
        <is>
          <t>SA-09B</t>
        </is>
      </c>
      <c r="F402" s="17" t="inlineStr">
        <is>
          <t>weakness</t>
        </is>
      </c>
      <c r="G402" s="17" t="inlineStr">
        <is>
          <t>ECO-08</t>
        </is>
      </c>
      <c r="H402" s="17" t="inlineStr">
        <is>
          <t>DOC-C14-006</t>
        </is>
      </c>
      <c r="I402" s="18" t="inlineStr">
        <is>
          <t>BMC: '18 ativos, pacote principal, % geral nao informado' e 'metricas nao informadas permanecem desconhecidas'; entregas previstas: 'baseline de visualizacoes, retencao, salvamentos, inscricoes e downloads' - ou seja, a linha de base ainda sera criada.</t>
        </is>
      </c>
      <c r="J402" s="17" t="inlineStr">
        <is>
          <t>strong</t>
        </is>
      </c>
      <c r="K402" s="17" t="inlineStr">
        <is>
          <t>0.85</t>
        </is>
      </c>
      <c r="L402" s="17" t="inlineStr">
        <is>
          <t>fact</t>
        </is>
      </c>
    </row>
    <row r="403">
      <c r="A403" s="17" t="inlineStr">
        <is>
          <t>EV-fdffda0ecf</t>
        </is>
      </c>
      <c r="B403" s="17" t="inlineStr">
        <is>
          <t>strategic_analysis</t>
        </is>
      </c>
      <c r="C403" s="17" t="inlineStr">
        <is>
          <t>r2</t>
        </is>
      </c>
      <c r="D403" s="18" t="inlineStr">
        <is>
          <t>O e-book de gestao de riscos e apontado no proprio acervo como o produto mais diferenciador da linha.</t>
        </is>
      </c>
      <c r="E403" s="17" t="inlineStr">
        <is>
          <t>SA-09C</t>
        </is>
      </c>
      <c r="F403" s="17" t="inlineStr">
        <is>
          <t>opportunity</t>
        </is>
      </c>
      <c r="G403" s="17" t="inlineStr">
        <is>
          <t>ECO-06</t>
        </is>
      </c>
      <c r="H403" s="17" t="inlineStr">
        <is>
          <t>DOC-C05-001</t>
        </is>
      </c>
      <c r="I403" s="18" t="inlineStr">
        <is>
          <t>Ecossistema, I2 TDAH Risk Management na Pratica: 'Esse pode ser um dos produtos mais diferenciadores, porque deixa de falar genericamente de produtividade com TDAH e fala de gestao preventiva das consequencias da execucao'.</t>
        </is>
      </c>
      <c r="J403" s="17" t="inlineStr">
        <is>
          <t>strong</t>
        </is>
      </c>
      <c r="K403" s="17" t="inlineStr">
        <is>
          <t>0.85</t>
        </is>
      </c>
      <c r="L403" s="17" t="inlineStr">
        <is>
          <t>fact</t>
        </is>
      </c>
    </row>
    <row r="404">
      <c r="A404" s="17" t="inlineStr">
        <is>
          <t>EV-04098d8b0c</t>
        </is>
      </c>
      <c r="B404" s="17" t="inlineStr">
        <is>
          <t>strategic_analysis</t>
        </is>
      </c>
      <c r="C404" s="17" t="inlineStr">
        <is>
          <t>r2</t>
        </is>
      </c>
      <c r="D404" s="18" t="inlineStr">
        <is>
          <t>O e-book de gestao de riscos e apontado no proprio acervo como o produto mais diferenciador da linha.</t>
        </is>
      </c>
      <c r="E404" s="17" t="inlineStr">
        <is>
          <t>SA-09C</t>
        </is>
      </c>
      <c r="F404" s="17" t="inlineStr">
        <is>
          <t>opportunity</t>
        </is>
      </c>
      <c r="G404" s="17" t="inlineStr">
        <is>
          <t>ECO-06</t>
        </is>
      </c>
      <c r="H404" s="17" t="inlineStr">
        <is>
          <t>DOC-C09-011</t>
        </is>
      </c>
      <c r="I404" s="18" t="inlineStr">
        <is>
          <t>Ecossistema, I2 TDAH Risk Management na Pratica: 'Esse pode ser um dos produtos mais diferenciadores, porque deixa de falar genericamente de produtividade com TDAH e fala de gestao preventiva das consequencias da execucao'.</t>
        </is>
      </c>
      <c r="J404" s="17" t="inlineStr">
        <is>
          <t>strong</t>
        </is>
      </c>
      <c r="K404" s="17" t="inlineStr">
        <is>
          <t>0.85</t>
        </is>
      </c>
      <c r="L404" s="17" t="inlineStr">
        <is>
          <t>fact</t>
        </is>
      </c>
    </row>
    <row r="405">
      <c r="A405" s="17" t="inlineStr">
        <is>
          <t>EV-cb9f016c49</t>
        </is>
      </c>
      <c r="B405" s="17" t="inlineStr">
        <is>
          <t>strategic_analysis</t>
        </is>
      </c>
      <c r="C405" s="17" t="inlineStr">
        <is>
          <t>r2</t>
        </is>
      </c>
      <c r="D405" s="18" t="inlineStr">
        <is>
          <t>A integracao fisico-digital por QR e apontada como elo do bundle e nao existe em nenhum concorrente observado.</t>
        </is>
      </c>
      <c r="E405" s="17" t="inlineStr">
        <is>
          <t>SA-09C</t>
        </is>
      </c>
      <c r="F405" s="17" t="inlineStr">
        <is>
          <t>opportunity</t>
        </is>
      </c>
      <c r="G405" s="17" t="inlineStr">
        <is>
          <t>ECO-04</t>
        </is>
      </c>
      <c r="H405" s="17" t="inlineStr">
        <is>
          <t>DOC-C05-001</t>
        </is>
      </c>
      <c r="I405" s="18" t="inlineStr">
        <is>
          <t>Ecossistema, nivel Integracao: 'QR / App Executar / templates - Ligar objeto fisico ao ecossistema digital'; Office Kit inclui 'Neurobook + Timer 45 + Organizacao + componentes de mesa/reprints selecionados'; a mockup mostra 'Reprint + QR - Extras + QR Code'.</t>
        </is>
      </c>
      <c r="J405" s="17" t="inlineStr">
        <is>
          <t>moderate</t>
        </is>
      </c>
      <c r="K405" s="17" t="inlineStr">
        <is>
          <t>0.8</t>
        </is>
      </c>
      <c r="L405" s="17" t="inlineStr">
        <is>
          <t>fact</t>
        </is>
      </c>
    </row>
    <row r="406">
      <c r="A406" s="17" t="inlineStr">
        <is>
          <t>EV-4a3f987690</t>
        </is>
      </c>
      <c r="B406" s="17" t="inlineStr">
        <is>
          <t>strategic_analysis</t>
        </is>
      </c>
      <c r="C406" s="17" t="inlineStr">
        <is>
          <t>r2</t>
        </is>
      </c>
      <c r="D406" s="18" t="inlineStr">
        <is>
          <t>A integracao fisico-digital por QR e apontada como elo do bundle e nao existe em nenhum concorrente observado.</t>
        </is>
      </c>
      <c r="E406" s="17" t="inlineStr">
        <is>
          <t>SA-09C</t>
        </is>
      </c>
      <c r="F406" s="17" t="inlineStr">
        <is>
          <t>opportunity</t>
        </is>
      </c>
      <c r="G406" s="17" t="inlineStr">
        <is>
          <t>ECO-04</t>
        </is>
      </c>
      <c r="H406" s="17" t="inlineStr">
        <is>
          <t>DOC-C13-008</t>
        </is>
      </c>
      <c r="I406" s="18" t="inlineStr">
        <is>
          <t>Ecossistema, nivel Integracao: 'QR / App Executar / templates - Ligar objeto fisico ao ecossistema digital'; Office Kit inclui 'Neurobook + Timer 45 + Organizacao + componentes de mesa/reprints selecionados'; a mockup mostra 'Reprint + QR - Extras + QR Code'.</t>
        </is>
      </c>
      <c r="J406" s="17" t="inlineStr">
        <is>
          <t>moderate</t>
        </is>
      </c>
      <c r="K406" s="17" t="inlineStr">
        <is>
          <t>0.8</t>
        </is>
      </c>
      <c r="L406" s="17" t="inlineStr">
        <is>
          <t>fact</t>
        </is>
      </c>
    </row>
    <row r="407">
      <c r="A407" s="17" t="inlineStr">
        <is>
          <t>EV-8052076c2c</t>
        </is>
      </c>
      <c r="B407" s="17" t="inlineStr">
        <is>
          <t>strategic_analysis</t>
        </is>
      </c>
      <c r="C407" s="17" t="inlineStr">
        <is>
          <t>r2</t>
        </is>
      </c>
      <c r="D407" s="18" t="inlineStr">
        <is>
          <t>A ancora de preco baixo do mercado de e-books ameaca o posicionamento premium da edicao interativa.</t>
        </is>
      </c>
      <c r="E407" s="17" t="inlineStr">
        <is>
          <t>SA-09D</t>
        </is>
      </c>
      <c r="F407" s="17" t="inlineStr">
        <is>
          <t>threat</t>
        </is>
      </c>
      <c r="G407" s="17" t="inlineStr">
        <is>
          <t>ECO-05</t>
        </is>
      </c>
      <c r="H407" s="17" t="inlineStr">
        <is>
          <t>DOC-C05-001</t>
        </is>
      </c>
      <c r="I407" s="18" t="inlineStr">
        <is>
          <t>Ecossistema: 'O mercado observado tem forte concentracao em preco baixo'; e a decisao de preco: 'Voce entra acessivel, mas nao se coloca na categoria de PDF barato de R$ 9,90'.</t>
        </is>
      </c>
      <c r="J407" s="17" t="inlineStr">
        <is>
          <t>moderate</t>
        </is>
      </c>
      <c r="K407" s="17" t="inlineStr">
        <is>
          <t>0.75</t>
        </is>
      </c>
      <c r="L407" s="17" t="inlineStr">
        <is>
          <t>fact</t>
        </is>
      </c>
    </row>
    <row r="408">
      <c r="A408" s="17" t="inlineStr">
        <is>
          <t>EV-865eb0c0f2</t>
        </is>
      </c>
      <c r="B408" s="17" t="inlineStr">
        <is>
          <t>strategic_analysis</t>
        </is>
      </c>
      <c r="C408" s="17" t="inlineStr">
        <is>
          <t>r2</t>
        </is>
      </c>
      <c r="D408" s="18" t="inlineStr">
        <is>
          <t>A politica de plataforma sobre conteudo gerado por IA e um risco de distribuicao e de cadastro simultaneamente.</t>
        </is>
      </c>
      <c r="E408" s="17" t="inlineStr">
        <is>
          <t>SA-09D</t>
        </is>
      </c>
      <c r="F408" s="17" t="inlineStr">
        <is>
          <t>threat</t>
        </is>
      </c>
      <c r="G408" s="17" t="inlineStr">
        <is>
          <t>ECO-08</t>
        </is>
      </c>
      <c r="H408" s="17" t="inlineStr">
        <is>
          <t>DOC-C05-001</t>
        </is>
      </c>
      <c r="I408" s="18" t="inlineStr">
        <is>
          <t>Ecossistema: 'A Hotmart hoje tambem exige, no cadastro de e-books, identificacao de autoria e informa que o conteudo nao deve conter trechos copiados da internet ou gerados por IA. Isso e particularmente relevante para o seu workflow: IA pode ajudar no planejamento, taxonomia, pesquisa e revisao, mas eu trataria a redacao final comercial como conteudo autoral seu'.</t>
        </is>
      </c>
      <c r="J408" s="17" t="inlineStr">
        <is>
          <t>moderate</t>
        </is>
      </c>
      <c r="K408" s="17" t="inlineStr">
        <is>
          <t>0.75</t>
        </is>
      </c>
      <c r="L408" s="17" t="inlineStr">
        <is>
          <t>fact</t>
        </is>
      </c>
    </row>
    <row r="409">
      <c r="A409" s="17" t="inlineStr">
        <is>
          <t>EV-ee4b740236</t>
        </is>
      </c>
      <c r="B409" s="17" t="inlineStr">
        <is>
          <t>strategic_analysis</t>
        </is>
      </c>
      <c r="C409" s="17" t="inlineStr">
        <is>
          <t>r2</t>
        </is>
      </c>
      <c r="D409" s="18" t="inlineStr">
        <is>
          <t>O ciclo caixa-a-caixa da linha fisica pode travar o lancamento se houver compra de estoque antes de venda confirmada.</t>
        </is>
      </c>
      <c r="E409" s="17" t="inlineStr">
        <is>
          <t>SA-09D</t>
        </is>
      </c>
      <c r="F409" s="17" t="inlineStr">
        <is>
          <t>threat</t>
        </is>
      </c>
      <c r="G409" s="17" t="inlineStr">
        <is>
          <t>ECO-04</t>
        </is>
      </c>
      <c r="H409" s="17" t="inlineStr">
        <is>
          <t>DOC-C05-001</t>
        </is>
      </c>
      <c r="I409" s="18" t="inlineStr">
        <is>
          <t>Ecossistema: 'Capital de giro - Dinheiro preso entre compra do produto e recebimento da venda - Este e um dos riscos principais desta linha fisica'; e a fase 04 so autoriza escala 'Baseada na demanda observada... Comprar em quantidade somente apos prova'.</t>
        </is>
      </c>
      <c r="J409" s="17" t="inlineStr">
        <is>
          <t>strong</t>
        </is>
      </c>
      <c r="K409" s="17" t="inlineStr">
        <is>
          <t>0.85</t>
        </is>
      </c>
      <c r="L409" s="17" t="inlineStr">
        <is>
          <t>fact</t>
        </is>
      </c>
    </row>
    <row r="410">
      <c r="A410" s="17" t="inlineStr">
        <is>
          <t>EV-69ac6fdc21</t>
        </is>
      </c>
      <c r="B410" s="17" t="inlineStr">
        <is>
          <t>strategic_analysis</t>
        </is>
      </c>
      <c r="C410" s="17" t="inlineStr">
        <is>
          <t>r2</t>
        </is>
      </c>
      <c r="D410" s="18" t="inlineStr">
        <is>
          <t>A atratividade do mercado de infoprodutos e sustentavel por precos observados e taxa de canal conhecida, mas nao por tamanho de mercado.</t>
        </is>
      </c>
      <c r="E410" s="17" t="inlineStr">
        <is>
          <t>SA-10A</t>
        </is>
      </c>
      <c r="F410" s="17" t="inlineStr">
        <is>
          <t>market_attractiveness</t>
        </is>
      </c>
      <c r="G410" s="17" t="inlineStr">
        <is>
          <t>ECO-05</t>
        </is>
      </c>
      <c r="H410" s="17" t="inlineStr">
        <is>
          <t>DOC-C05-001</t>
        </is>
      </c>
      <c r="I410" s="18" t="inlineStr">
        <is>
          <t>O acervo fornece precos praticados (R$ 19,90 a R$ 1.997), taxa de canal (9,9% + R$ 2,49) e escada de precos propria, mas nenhum volume, numero de compradores ou crescimento de categoria.</t>
        </is>
      </c>
      <c r="J410" s="17" t="inlineStr">
        <is>
          <t>moderate</t>
        </is>
      </c>
      <c r="K410" s="17" t="inlineStr">
        <is>
          <t>0.7</t>
        </is>
      </c>
      <c r="L410" s="17" t="inlineStr">
        <is>
          <t>inference</t>
        </is>
      </c>
    </row>
    <row r="411">
      <c r="A411" s="17" t="inlineStr">
        <is>
          <t>EV-5b5c482161</t>
        </is>
      </c>
      <c r="B411" s="17" t="inlineStr">
        <is>
          <t>strategic_analysis</t>
        </is>
      </c>
      <c r="C411" s="17" t="inlineStr">
        <is>
          <t>r2</t>
        </is>
      </c>
      <c r="D411" s="18" t="inlineStr">
        <is>
          <t>A atratividade do mercado de infoprodutos e sustentavel por precos observados e taxa de canal conhecida, mas nao por tamanho de mercado.</t>
        </is>
      </c>
      <c r="E411" s="17" t="inlineStr">
        <is>
          <t>SA-10A</t>
        </is>
      </c>
      <c r="F411" s="17" t="inlineStr">
        <is>
          <t>market_attractiveness</t>
        </is>
      </c>
      <c r="G411" s="17" t="inlineStr">
        <is>
          <t>ECO-05</t>
        </is>
      </c>
      <c r="H411" s="17" t="inlineStr">
        <is>
          <t>DOC-C07-009</t>
        </is>
      </c>
      <c r="I411" s="18" t="inlineStr">
        <is>
          <t>O acervo fornece precos praticados (R$ 19,90 a R$ 1.997), taxa de canal (9,9% + R$ 2,49) e escada de precos propria, mas nenhum volume, numero de compradores ou crescimento de categoria.</t>
        </is>
      </c>
      <c r="J411" s="17" t="inlineStr">
        <is>
          <t>moderate</t>
        </is>
      </c>
      <c r="K411" s="17" t="inlineStr">
        <is>
          <t>0.7</t>
        </is>
      </c>
      <c r="L411" s="17" t="inlineStr">
        <is>
          <t>inference</t>
        </is>
      </c>
    </row>
    <row r="412">
      <c r="A412" s="17" t="inlineStr">
        <is>
          <t>EV-2214b5f1aa</t>
        </is>
      </c>
      <c r="B412" s="17" t="inlineStr">
        <is>
          <t>strategic_analysis</t>
        </is>
      </c>
      <c r="C412" s="17" t="inlineStr">
        <is>
          <t>r2</t>
        </is>
      </c>
      <c r="D412" s="18" t="inlineStr">
        <is>
          <t>A atratividade da linha fisica e baixa no SKU de revenda e desconhecida no SKU proprietario.</t>
        </is>
      </c>
      <c r="E412" s="17" t="inlineStr">
        <is>
          <t>SA-10A</t>
        </is>
      </c>
      <c r="F412" s="17" t="inlineStr">
        <is>
          <t>market_attractiveness</t>
        </is>
      </c>
      <c r="G412" s="17" t="inlineStr">
        <is>
          <t>ECO-04</t>
        </is>
      </c>
      <c r="H412" s="17" t="inlineStr">
        <is>
          <t>DOC-C13-010</t>
        </is>
      </c>
      <c r="I412" s="18" t="inlineStr">
        <is>
          <t>Substitutos do Timer a partir de R$ 28,46 versus preco de fornecedor citado de R$ 39; o Neurobook, unico proprietario, nao tem custo nem preco de mercado comparado no acervo.</t>
        </is>
      </c>
      <c r="J412" s="17" t="inlineStr">
        <is>
          <t>moderate</t>
        </is>
      </c>
      <c r="K412" s="17" t="inlineStr">
        <is>
          <t>0.7</t>
        </is>
      </c>
      <c r="L412" s="17" t="inlineStr">
        <is>
          <t>inference</t>
        </is>
      </c>
    </row>
    <row r="413">
      <c r="A413" s="17" t="inlineStr">
        <is>
          <t>EV-6d1b1d8bc6</t>
        </is>
      </c>
      <c r="B413" s="17" t="inlineStr">
        <is>
          <t>strategic_analysis</t>
        </is>
      </c>
      <c r="C413" s="17" t="inlineStr">
        <is>
          <t>r2</t>
        </is>
      </c>
      <c r="D413" s="18" t="inlineStr">
        <is>
          <t>A atratividade da linha fisica e baixa no SKU de revenda e desconhecida no SKU proprietario.</t>
        </is>
      </c>
      <c r="E413" s="17" t="inlineStr">
        <is>
          <t>SA-10A</t>
        </is>
      </c>
      <c r="F413" s="17" t="inlineStr">
        <is>
          <t>market_attractiveness</t>
        </is>
      </c>
      <c r="G413" s="17" t="inlineStr">
        <is>
          <t>ECO-04</t>
        </is>
      </c>
      <c r="H413" s="17" t="inlineStr">
        <is>
          <t>DOC-C05-001</t>
        </is>
      </c>
      <c r="I413" s="18" t="inlineStr">
        <is>
          <t>Substitutos do Timer a partir de R$ 28,46 versus preco de fornecedor citado de R$ 39; o Neurobook, unico proprietario, nao tem custo nem preco de mercado comparado no acervo.</t>
        </is>
      </c>
      <c r="J413" s="17" t="inlineStr">
        <is>
          <t>moderate</t>
        </is>
      </c>
      <c r="K413" s="17" t="inlineStr">
        <is>
          <t>0.7</t>
        </is>
      </c>
      <c r="L413" s="17" t="inlineStr">
        <is>
          <t>inference</t>
        </is>
      </c>
    </row>
    <row r="414">
      <c r="A414" s="17" t="inlineStr">
        <is>
          <t>EV-000146f969</t>
        </is>
      </c>
      <c r="B414" s="17" t="inlineStr">
        <is>
          <t>strategic_analysis</t>
        </is>
      </c>
      <c r="C414" s="17" t="inlineStr">
        <is>
          <t>r2</t>
        </is>
      </c>
      <c r="D414" s="18" t="inlineStr">
        <is>
          <t>A capacidade de vencer no ecossistema creator repousa em um sistema editorial ja desenhado, operado por uma unica pessoa com 6h/dia.</t>
        </is>
      </c>
      <c r="E414" s="17" t="inlineStr">
        <is>
          <t>SA-10B</t>
        </is>
      </c>
      <c r="F414" s="17" t="inlineStr">
        <is>
          <t>ability_to_win</t>
        </is>
      </c>
      <c r="G414" s="17" t="inlineStr">
        <is>
          <t>ECO-08</t>
        </is>
      </c>
      <c r="H414" s="17" t="inlineStr">
        <is>
          <t>DOC-C05-001</t>
        </is>
      </c>
      <c r="I414" s="18" t="inlineStr">
        <is>
          <t>Ecossistema define matriz 3x4, schema de 10 blocos por peca, 12 projecoes por conteudo e cadeia unica de 13 camadas; a capacidade e '6 horas executaveis/dia' com '60h comprometidas + 12h de reserva'.</t>
        </is>
      </c>
      <c r="J414" s="17" t="inlineStr">
        <is>
          <t>strong</t>
        </is>
      </c>
      <c r="K414" s="17" t="inlineStr">
        <is>
          <t>0.8</t>
        </is>
      </c>
      <c r="L414" s="17" t="inlineStr">
        <is>
          <t>inference</t>
        </is>
      </c>
    </row>
    <row r="415">
      <c r="A415" s="17" t="inlineStr">
        <is>
          <t>EV-bf6e090a19</t>
        </is>
      </c>
      <c r="B415" s="17" t="inlineStr">
        <is>
          <t>strategic_analysis</t>
        </is>
      </c>
      <c r="C415" s="17" t="inlineStr">
        <is>
          <t>r2</t>
        </is>
      </c>
      <c r="D415" s="18" t="inlineStr">
        <is>
          <t>A capacidade de vencer no ecossistema creator repousa em um sistema editorial ja desenhado, operado por uma unica pessoa com 6h/dia.</t>
        </is>
      </c>
      <c r="E415" s="17" t="inlineStr">
        <is>
          <t>SA-10B</t>
        </is>
      </c>
      <c r="F415" s="17" t="inlineStr">
        <is>
          <t>ability_to_win</t>
        </is>
      </c>
      <c r="G415" s="17" t="inlineStr">
        <is>
          <t>ECO-08</t>
        </is>
      </c>
      <c r="H415" s="17" t="inlineStr">
        <is>
          <t>DOC-C08-008</t>
        </is>
      </c>
      <c r="I415" s="18" t="inlineStr">
        <is>
          <t>Ecossistema define matriz 3x4, schema de 10 blocos por peca, 12 projecoes por conteudo e cadeia unica de 13 camadas; a capacidade e '6 horas executaveis/dia' com '60h comprometidas + 12h de reserva'.</t>
        </is>
      </c>
      <c r="J415" s="17" t="inlineStr">
        <is>
          <t>strong</t>
        </is>
      </c>
      <c r="K415" s="17" t="inlineStr">
        <is>
          <t>0.8</t>
        </is>
      </c>
      <c r="L415" s="17" t="inlineStr">
        <is>
          <t>inference</t>
        </is>
      </c>
    </row>
    <row r="416">
      <c r="A416" s="17" t="inlineStr">
        <is>
          <t>EV-7808f43aaa</t>
        </is>
      </c>
      <c r="B416" s="17" t="inlineStr">
        <is>
          <t>strategic_analysis</t>
        </is>
      </c>
      <c r="C416" s="17" t="inlineStr">
        <is>
          <t>r2</t>
        </is>
      </c>
      <c r="D416" s="18" t="inlineStr">
        <is>
          <t>A capacidade de vencer com o livro autoral depende de validacao externa que ainda nao comecou.</t>
        </is>
      </c>
      <c r="E416" s="17" t="inlineStr">
        <is>
          <t>SA-10B</t>
        </is>
      </c>
      <c r="F416" s="17" t="inlineStr">
        <is>
          <t>ability_to_win</t>
        </is>
      </c>
      <c r="G416" s="17" t="inlineStr">
        <is>
          <t>ECO-06</t>
        </is>
      </c>
      <c r="H416" s="17" t="inlineStr">
        <is>
          <t>DOC-C02-042</t>
        </is>
      </c>
      <c r="I416" s="18" t="inlineStr">
        <is>
          <t>texto 2.txt, Passo 02: 'Valide intelectualmente com uma scoping review, seguida de critica de pelo menos 5 pessoas de campos diferentes... e depois um piloto exploratorio com 10-20 participantes'; MASTER_INDEX RC-029: 'White paper e DOI - PENDENTE - So avancar apos artigo fundador e revisao de literatura'.</t>
        </is>
      </c>
      <c r="J416" s="17" t="inlineStr">
        <is>
          <t>strong</t>
        </is>
      </c>
      <c r="K416" s="17" t="inlineStr">
        <is>
          <t>0.85</t>
        </is>
      </c>
      <c r="L416" s="17" t="inlineStr">
        <is>
          <t>fact</t>
        </is>
      </c>
    </row>
    <row r="417">
      <c r="A417" s="17" t="inlineStr">
        <is>
          <t>EV-61f6b6946a</t>
        </is>
      </c>
      <c r="B417" s="17" t="inlineStr">
        <is>
          <t>strategic_analysis</t>
        </is>
      </c>
      <c r="C417" s="17" t="inlineStr">
        <is>
          <t>r2</t>
        </is>
      </c>
      <c r="D417" s="18" t="inlineStr">
        <is>
          <t>A capacidade de vencer com o livro autoral depende de validacao externa que ainda nao comecou.</t>
        </is>
      </c>
      <c r="E417" s="17" t="inlineStr">
        <is>
          <t>SA-10B</t>
        </is>
      </c>
      <c r="F417" s="17" t="inlineStr">
        <is>
          <t>ability_to_win</t>
        </is>
      </c>
      <c r="G417" s="17" t="inlineStr">
        <is>
          <t>ECO-06</t>
        </is>
      </c>
      <c r="H417" s="17" t="inlineStr">
        <is>
          <t>DOC-C02-002</t>
        </is>
      </c>
      <c r="I417" s="18" t="inlineStr">
        <is>
          <t>texto 2.txt, Passo 02: 'Valide intelectualmente com uma scoping review, seguida de critica de pelo menos 5 pessoas de campos diferentes... e depois um piloto exploratorio com 10-20 participantes'; MASTER_INDEX RC-029: 'White paper e DOI - PENDENTE - So avancar apos artigo fundador e revisao de literatura'.</t>
        </is>
      </c>
      <c r="J417" s="17" t="inlineStr">
        <is>
          <t>strong</t>
        </is>
      </c>
      <c r="K417" s="17" t="inlineStr">
        <is>
          <t>0.85</t>
        </is>
      </c>
      <c r="L417" s="17" t="inlineStr">
        <is>
          <t>fact</t>
        </is>
      </c>
    </row>
    <row r="418">
      <c r="A418" s="17" t="inlineStr">
        <is>
          <t>EV-1e6fe637aa</t>
        </is>
      </c>
      <c r="B418" s="17" t="inlineStr">
        <is>
          <t>strategic_analysis</t>
        </is>
      </c>
      <c r="C418" s="17" t="inlineStr">
        <is>
          <t>r2</t>
        </is>
      </c>
      <c r="D418" s="18" t="inlineStr">
        <is>
          <t>A capacidade de vencer na linha fisica e hoje indeterminavel porque a competencia central exigida (suprimento e logistica) nao foi avaliada em nenhum documento.</t>
        </is>
      </c>
      <c r="E418" s="17" t="inlineStr">
        <is>
          <t>SA-10B</t>
        </is>
      </c>
      <c r="F418" s="17" t="inlineStr">
        <is>
          <t>ability_to_win</t>
        </is>
      </c>
      <c r="G418" s="17" t="inlineStr">
        <is>
          <t>ECO-04</t>
        </is>
      </c>
      <c r="H418" s="17" t="inlineStr">
        <is>
          <t>DOC-C09-007</t>
        </is>
      </c>
      <c r="I418" s="18" t="inlineStr">
        <is>
          <t>Nenhum documento de ECO-04 (DOC-C09-007, DOC-C09-008, DOC-C12-008, DOC-C13-004) menciona fornecedor, importacao, armazenagem, expedicao, devolucao ou atendimento pos-venda.</t>
        </is>
      </c>
      <c r="J418" s="17" t="inlineStr">
        <is>
          <t>strong</t>
        </is>
      </c>
      <c r="K418" s="17" t="inlineStr">
        <is>
          <t>0.85</t>
        </is>
      </c>
      <c r="L418" s="17" t="inlineStr">
        <is>
          <t>gap</t>
        </is>
      </c>
    </row>
    <row r="419">
      <c r="A419" s="17" t="inlineStr">
        <is>
          <t>EV-5f30bfa8d8</t>
        </is>
      </c>
      <c r="B419" s="17" t="inlineStr">
        <is>
          <t>strategic_analysis</t>
        </is>
      </c>
      <c r="C419" s="17" t="inlineStr">
        <is>
          <t>r2</t>
        </is>
      </c>
      <c r="D419" s="18" t="inlineStr">
        <is>
          <t>A capacidade de vencer na linha fisica e hoje indeterminavel porque a competencia central exigida (suprimento e logistica) nao foi avaliada em nenhum documento.</t>
        </is>
      </c>
      <c r="E419" s="17" t="inlineStr">
        <is>
          <t>SA-10B</t>
        </is>
      </c>
      <c r="F419" s="17" t="inlineStr">
        <is>
          <t>ability_to_win</t>
        </is>
      </c>
      <c r="G419" s="17" t="inlineStr">
        <is>
          <t>ECO-04</t>
        </is>
      </c>
      <c r="H419" s="17" t="inlineStr">
        <is>
          <t>DOC-C09-008</t>
        </is>
      </c>
      <c r="I419" s="18" t="inlineStr">
        <is>
          <t>Nenhum documento de ECO-04 (DOC-C09-007, DOC-C09-008, DOC-C12-008, DOC-C13-004) menciona fornecedor, importacao, armazenagem, expedicao, devolucao ou atendimento pos-venda.</t>
        </is>
      </c>
      <c r="J419" s="17" t="inlineStr">
        <is>
          <t>strong</t>
        </is>
      </c>
      <c r="K419" s="17" t="inlineStr">
        <is>
          <t>0.85</t>
        </is>
      </c>
      <c r="L419" s="17" t="inlineStr">
        <is>
          <t>gap</t>
        </is>
      </c>
    </row>
    <row r="420">
      <c r="A420" s="17" t="inlineStr">
        <is>
          <t>EV-1f17a5356c</t>
        </is>
      </c>
      <c r="B420" s="17" t="inlineStr">
        <is>
          <t>strategic_analysis</t>
        </is>
      </c>
      <c r="C420" s="17" t="inlineStr">
        <is>
          <t>r2</t>
        </is>
      </c>
      <c r="D420" s="18" t="inlineStr">
        <is>
          <t>A capacidade de vencer na linha fisica e hoje indeterminavel porque a competencia central exigida (suprimento e logistica) nao foi avaliada em nenhum documento.</t>
        </is>
      </c>
      <c r="E420" s="17" t="inlineStr">
        <is>
          <t>SA-10B</t>
        </is>
      </c>
      <c r="F420" s="17" t="inlineStr">
        <is>
          <t>ability_to_win</t>
        </is>
      </c>
      <c r="G420" s="17" t="inlineStr">
        <is>
          <t>ECO-04</t>
        </is>
      </c>
      <c r="H420" s="17" t="inlineStr">
        <is>
          <t>DOC-C12-008</t>
        </is>
      </c>
      <c r="I420" s="18" t="inlineStr">
        <is>
          <t>Nenhum documento de ECO-04 (DOC-C09-007, DOC-C09-008, DOC-C12-008, DOC-C13-004) menciona fornecedor, importacao, armazenagem, expedicao, devolucao ou atendimento pos-venda.</t>
        </is>
      </c>
      <c r="J420" s="17" t="inlineStr">
        <is>
          <t>strong</t>
        </is>
      </c>
      <c r="K420" s="17" t="inlineStr">
        <is>
          <t>0.85</t>
        </is>
      </c>
      <c r="L420" s="17" t="inlineStr">
        <is>
          <t>gap</t>
        </is>
      </c>
    </row>
    <row r="421">
      <c r="A421" s="17" t="inlineStr">
        <is>
          <t>EV-64fe2df820</t>
        </is>
      </c>
      <c r="B421" s="17" t="inlineStr">
        <is>
          <t>strategic_analysis</t>
        </is>
      </c>
      <c r="C421" s="17" t="inlineStr">
        <is>
          <t>r2</t>
        </is>
      </c>
      <c r="D421" s="18" t="inlineStr">
        <is>
          <t>A capacidade de vencer na linha fisica e hoje indeterminavel porque a competencia central exigida (suprimento e logistica) nao foi avaliada em nenhum documento.</t>
        </is>
      </c>
      <c r="E421" s="17" t="inlineStr">
        <is>
          <t>SA-10B</t>
        </is>
      </c>
      <c r="F421" s="17" t="inlineStr">
        <is>
          <t>ability_to_win</t>
        </is>
      </c>
      <c r="G421" s="17" t="inlineStr">
        <is>
          <t>ECO-04</t>
        </is>
      </c>
      <c r="H421" s="17" t="inlineStr">
        <is>
          <t>DOC-C13-004</t>
        </is>
      </c>
      <c r="I421" s="18" t="inlineStr">
        <is>
          <t>Nenhum documento de ECO-04 (DOC-C09-007, DOC-C09-008, DOC-C12-008, DOC-C13-004) menciona fornecedor, importacao, armazenagem, expedicao, devolucao ou atendimento pos-venda.</t>
        </is>
      </c>
      <c r="J421" s="17" t="inlineStr">
        <is>
          <t>strong</t>
        </is>
      </c>
      <c r="K421" s="17" t="inlineStr">
        <is>
          <t>0.85</t>
        </is>
      </c>
      <c r="L421" s="17" t="inlineStr">
        <is>
          <t>gap</t>
        </is>
      </c>
    </row>
    <row r="422">
      <c r="A422" s="17" t="inlineStr">
        <is>
          <t>EV-1c0118cdad</t>
        </is>
      </c>
      <c r="B422" s="17" t="inlineStr">
        <is>
          <t>strategic_analysis</t>
        </is>
      </c>
      <c r="C422" s="17" t="inlineStr">
        <is>
          <t>r2</t>
        </is>
      </c>
      <c r="D422" s="18" t="inlineStr">
        <is>
          <t>A escolha declarada e jogar primeiro em intencao e nao em venda, com estoque proximo de zero.</t>
        </is>
      </c>
      <c r="E422" s="17" t="inlineStr">
        <is>
          <t>SA-11A</t>
        </is>
      </c>
      <c r="F422" s="17" t="inlineStr">
        <is>
          <t>where_to_play</t>
        </is>
      </c>
      <c r="G422" s="17" t="inlineStr">
        <is>
          <t>ECO-04</t>
        </is>
      </c>
      <c r="H422" s="17" t="inlineStr">
        <is>
          <t>DOC-C05-001</t>
        </is>
      </c>
      <c r="I422" s="18" t="inlineStr">
        <is>
          <t>Ecossistema, Estrategia de validacao: '01 Intencao - 0-1 amostra - Pagina completa do produto - Medir cliques, lista de espera, interesse'; DOC-C09-008: 'priorizar pagina, lista de interesse e proposta de conjunto quando a operacao de compra ainda nao estiver pronta'.</t>
        </is>
      </c>
      <c r="J422" s="17" t="inlineStr">
        <is>
          <t>strong</t>
        </is>
      </c>
      <c r="K422" s="17" t="inlineStr">
        <is>
          <t>0.9</t>
        </is>
      </c>
      <c r="L422" s="17" t="inlineStr">
        <is>
          <t>fact</t>
        </is>
      </c>
    </row>
    <row r="423">
      <c r="A423" s="17" t="inlineStr">
        <is>
          <t>EV-8fb6670716</t>
        </is>
      </c>
      <c r="B423" s="17" t="inlineStr">
        <is>
          <t>strategic_analysis</t>
        </is>
      </c>
      <c r="C423" s="17" t="inlineStr">
        <is>
          <t>r2</t>
        </is>
      </c>
      <c r="D423" s="18" t="inlineStr">
        <is>
          <t>A escolha declarada e jogar primeiro em intencao e nao em venda, com estoque proximo de zero.</t>
        </is>
      </c>
      <c r="E423" s="17" t="inlineStr">
        <is>
          <t>SA-11A</t>
        </is>
      </c>
      <c r="F423" s="17" t="inlineStr">
        <is>
          <t>where_to_play</t>
        </is>
      </c>
      <c r="G423" s="17" t="inlineStr">
        <is>
          <t>ECO-04</t>
        </is>
      </c>
      <c r="H423" s="17" t="inlineStr">
        <is>
          <t>DOC-C09-008</t>
        </is>
      </c>
      <c r="I423" s="18" t="inlineStr">
        <is>
          <t>Ecossistema, Estrategia de validacao: '01 Intencao - 0-1 amostra - Pagina completa do produto - Medir cliques, lista de espera, interesse'; DOC-C09-008: 'priorizar pagina, lista de interesse e proposta de conjunto quando a operacao de compra ainda nao estiver pronta'.</t>
        </is>
      </c>
      <c r="J423" s="17" t="inlineStr">
        <is>
          <t>strong</t>
        </is>
      </c>
      <c r="K423" s="17" t="inlineStr">
        <is>
          <t>0.9</t>
        </is>
      </c>
      <c r="L423" s="17" t="inlineStr">
        <is>
          <t>fact</t>
        </is>
      </c>
    </row>
    <row r="424">
      <c r="A424" s="17" t="inlineStr">
        <is>
          <t>EV-b17994725b</t>
        </is>
      </c>
      <c r="B424" s="17" t="inlineStr">
        <is>
          <t>strategic_analysis</t>
        </is>
      </c>
      <c r="C424" s="17" t="inlineStr">
        <is>
          <t>r2</t>
        </is>
      </c>
      <c r="D424" s="18" t="inlineStr">
        <is>
          <t>A escolha e jogar em dois canais simultaneos, pagina propria e Hotmart, com a mesma mensagem e oferta.</t>
        </is>
      </c>
      <c r="E424" s="17" t="inlineStr">
        <is>
          <t>SA-11A</t>
        </is>
      </c>
      <c r="F424" s="17" t="inlineStr">
        <is>
          <t>where_to_play</t>
        </is>
      </c>
      <c r="G424" s="17" t="inlineStr">
        <is>
          <t>ECO-05</t>
        </is>
      </c>
      <c r="H424" s="17" t="inlineStr">
        <is>
          <t>DOC-C09-016</t>
        </is>
      </c>
      <c r="I424" s="18" t="inlineStr">
        <is>
          <t>DOC-C09-016: 'A pagina propria e a Hotmart devem apontar para a mesma mensagem e oferta'; DOC-C09-015 lista o cadastro Hotmart completo incluindo 'preco', 'pagina de venda/destino' e 'teste de compra quando possivel'.</t>
        </is>
      </c>
      <c r="J424" s="17" t="inlineStr">
        <is>
          <t>strong</t>
        </is>
      </c>
      <c r="K424" s="17" t="inlineStr">
        <is>
          <t>0.9</t>
        </is>
      </c>
      <c r="L424" s="17" t="inlineStr">
        <is>
          <t>fact</t>
        </is>
      </c>
    </row>
    <row r="425">
      <c r="A425" s="17" t="inlineStr">
        <is>
          <t>EV-cd54ff2072</t>
        </is>
      </c>
      <c r="B425" s="17" t="inlineStr">
        <is>
          <t>strategic_analysis</t>
        </is>
      </c>
      <c r="C425" s="17" t="inlineStr">
        <is>
          <t>r2</t>
        </is>
      </c>
      <c r="D425" s="18" t="inlineStr">
        <is>
          <t>A escolha e jogar em dois canais simultaneos, pagina propria e Hotmart, com a mesma mensagem e oferta.</t>
        </is>
      </c>
      <c r="E425" s="17" t="inlineStr">
        <is>
          <t>SA-11A</t>
        </is>
      </c>
      <c r="F425" s="17" t="inlineStr">
        <is>
          <t>where_to_play</t>
        </is>
      </c>
      <c r="G425" s="17" t="inlineStr">
        <is>
          <t>ECO-05</t>
        </is>
      </c>
      <c r="H425" s="17" t="inlineStr">
        <is>
          <t>DOC-C09-015</t>
        </is>
      </c>
      <c r="I425" s="18" t="inlineStr">
        <is>
          <t>DOC-C09-016: 'A pagina propria e a Hotmart devem apontar para a mesma mensagem e oferta'; DOC-C09-015 lista o cadastro Hotmart completo incluindo 'preco', 'pagina de venda/destino' e 'teste de compra quando possivel'.</t>
        </is>
      </c>
      <c r="J425" s="17" t="inlineStr">
        <is>
          <t>strong</t>
        </is>
      </c>
      <c r="K425" s="17" t="inlineStr">
        <is>
          <t>0.9</t>
        </is>
      </c>
      <c r="L425" s="17" t="inlineStr">
        <is>
          <t>fact</t>
        </is>
      </c>
    </row>
    <row r="426">
      <c r="A426" s="17" t="inlineStr">
        <is>
          <t>EV-86a87add31</t>
        </is>
      </c>
      <c r="B426" s="17" t="inlineStr">
        <is>
          <t>strategic_analysis</t>
        </is>
      </c>
      <c r="C426" s="17" t="inlineStr">
        <is>
          <t>r2</t>
        </is>
      </c>
      <c r="D426" s="18" t="inlineStr">
        <is>
          <t>O destino declarado dos livros digitais e a pagina Biblioteca, cujo objetivo esta descrito como aprofundamento e nao como venda.</t>
        </is>
      </c>
      <c r="E426" s="17" t="inlineStr">
        <is>
          <t>SA-11A</t>
        </is>
      </c>
      <c r="F426" s="17" t="inlineStr">
        <is>
          <t>where_to_play</t>
        </is>
      </c>
      <c r="G426" s="17" t="inlineStr">
        <is>
          <t>ECO-06</t>
        </is>
      </c>
      <c r="H426" s="17" t="inlineStr">
        <is>
          <t>DOC-C12-009</t>
        </is>
      </c>
      <c r="I426" s="18" t="inlineStr">
        <is>
          <t>DOC-C12-009, Biblioteca: 'Objetivo: organizar conteudo e aprofundamento. Chamada principal: CH-003 / CH-007'; o registro de chamadas define CH-003 'Explorar a biblioteca' e CH-007 'Ver o livro - ligacao de afiliado'; a chamada de livro digital e CH-004, que aponta para a Loja.</t>
        </is>
      </c>
      <c r="J426" s="17" t="inlineStr">
        <is>
          <t>strong</t>
        </is>
      </c>
      <c r="K426" s="17" t="inlineStr">
        <is>
          <t>0.85</t>
        </is>
      </c>
      <c r="L426" s="17" t="inlineStr">
        <is>
          <t>conflict</t>
        </is>
      </c>
    </row>
    <row r="427">
      <c r="A427" s="17" t="inlineStr">
        <is>
          <t>EV-37bee4a3c4</t>
        </is>
      </c>
      <c r="B427" s="17" t="inlineStr">
        <is>
          <t>strategic_analysis</t>
        </is>
      </c>
      <c r="C427" s="17" t="inlineStr">
        <is>
          <t>r2</t>
        </is>
      </c>
      <c r="D427" s="18" t="inlineStr">
        <is>
          <t>O destino declarado dos livros digitais e a pagina Biblioteca, cujo objetivo esta descrito como aprofundamento e nao como venda.</t>
        </is>
      </c>
      <c r="E427" s="17" t="inlineStr">
        <is>
          <t>SA-11A</t>
        </is>
      </c>
      <c r="F427" s="17" t="inlineStr">
        <is>
          <t>where_to_play</t>
        </is>
      </c>
      <c r="G427" s="17" t="inlineStr">
        <is>
          <t>ECO-06</t>
        </is>
      </c>
      <c r="H427" s="17" t="inlineStr">
        <is>
          <t>DOC-C08-004</t>
        </is>
      </c>
      <c r="I427" s="18" t="inlineStr">
        <is>
          <t>DOC-C12-009, Biblioteca: 'Objetivo: organizar conteudo e aprofundamento. Chamada principal: CH-003 / CH-007'; o registro de chamadas define CH-003 'Explorar a biblioteca' e CH-007 'Ver o livro - ligacao de afiliado'; a chamada de livro digital e CH-004, que aponta para a Loja.</t>
        </is>
      </c>
      <c r="J427" s="17" t="inlineStr">
        <is>
          <t>strong</t>
        </is>
      </c>
      <c r="K427" s="17" t="inlineStr">
        <is>
          <t>0.85</t>
        </is>
      </c>
      <c r="L427" s="17" t="inlineStr">
        <is>
          <t>conflict</t>
        </is>
      </c>
    </row>
    <row r="428">
      <c r="A428" s="17" t="inlineStr">
        <is>
          <t>EV-4ec3ca9437</t>
        </is>
      </c>
      <c r="B428" s="17" t="inlineStr">
        <is>
          <t>strategic_analysis</t>
        </is>
      </c>
      <c r="C428" s="17" t="inlineStr">
        <is>
          <t>r2</t>
        </is>
      </c>
      <c r="D428" s="18" t="inlineStr">
        <is>
          <t>O destino declarado dos livros digitais e a pagina Biblioteca, cujo objetivo esta descrito como aprofundamento e nao como venda.</t>
        </is>
      </c>
      <c r="E428" s="17" t="inlineStr">
        <is>
          <t>SA-11A</t>
        </is>
      </c>
      <c r="F428" s="17" t="inlineStr">
        <is>
          <t>where_to_play</t>
        </is>
      </c>
      <c r="G428" s="17" t="inlineStr">
        <is>
          <t>ECO-06</t>
        </is>
      </c>
      <c r="H428" s="17" t="inlineStr">
        <is>
          <t>DOC-C12-008</t>
        </is>
      </c>
      <c r="I428" s="18" t="inlineStr">
        <is>
          <t>DOC-C12-009, Biblioteca: 'Objetivo: organizar conteudo e aprofundamento. Chamada principal: CH-003 / CH-007'; o registro de chamadas define CH-003 'Explorar a biblioteca' e CH-007 'Ver o livro - ligacao de afiliado'; a chamada de livro digital e CH-004, que aponta para a Loja.</t>
        </is>
      </c>
      <c r="J428" s="17" t="inlineStr">
        <is>
          <t>strong</t>
        </is>
      </c>
      <c r="K428" s="17" t="inlineStr">
        <is>
          <t>0.85</t>
        </is>
      </c>
      <c r="L428" s="17" t="inlineStr">
        <is>
          <t>conflict</t>
        </is>
      </c>
    </row>
    <row r="429">
      <c r="A429" s="17" t="inlineStr">
        <is>
          <t>EV-590c958e7d</t>
        </is>
      </c>
      <c r="B429" s="17" t="inlineStr">
        <is>
          <t>strategic_analysis</t>
        </is>
      </c>
      <c r="C429" s="17" t="inlineStr">
        <is>
          <t>r2</t>
        </is>
      </c>
      <c r="D429" s="18" t="inlineStr">
        <is>
          <t>O acervo define quatro canais proprios e quatro de distribuicao, com o blog como fonte canonica.</t>
        </is>
      </c>
      <c r="E429" s="17" t="inlineStr">
        <is>
          <t>SA-11A</t>
        </is>
      </c>
      <c r="F429" s="17" t="inlineStr">
        <is>
          <t>where_to_play</t>
        </is>
      </c>
      <c r="G429" s="17" t="inlineStr">
        <is>
          <t>ECO-08</t>
        </is>
      </c>
      <c r="H429" s="17" t="inlineStr">
        <is>
          <t>DOC-C05-001</t>
        </is>
      </c>
      <c r="I429" s="18" t="inlineStr">
        <is>
          <t>Ecossistema, Arquitetura das plataformas: 'OWNED 01 executar.com / Blog - Fonte canonica do conteudo | OWNED 02 Biblioteca Executar | OWNED 03 E-mail / newsletter | OWNED 04 Executar / comunidade futura | DISTRIBUICAO 01 YouTube | 02 Instagram | 03 TikTok | 04 LinkedIn'.</t>
        </is>
      </c>
      <c r="J429" s="17" t="inlineStr">
        <is>
          <t>strong</t>
        </is>
      </c>
      <c r="K429" s="17" t="inlineStr">
        <is>
          <t>0.9</t>
        </is>
      </c>
      <c r="L429" s="17" t="inlineStr">
        <is>
          <t>fact</t>
        </is>
      </c>
    </row>
    <row r="430">
      <c r="A430" s="17" t="inlineStr">
        <is>
          <t>EV-a24f49ec74</t>
        </is>
      </c>
      <c r="B430" s="17" t="inlineStr">
        <is>
          <t>strategic_analysis</t>
        </is>
      </c>
      <c r="C430" s="17" t="inlineStr">
        <is>
          <t>r2</t>
        </is>
      </c>
      <c r="D430" s="18" t="inlineStr">
        <is>
          <t>O acervo define quatro canais proprios e quatro de distribuicao, com o blog como fonte canonica.</t>
        </is>
      </c>
      <c r="E430" s="17" t="inlineStr">
        <is>
          <t>SA-11A</t>
        </is>
      </c>
      <c r="F430" s="17" t="inlineStr">
        <is>
          <t>where_to_play</t>
        </is>
      </c>
      <c r="G430" s="17" t="inlineStr">
        <is>
          <t>ECO-08</t>
        </is>
      </c>
      <c r="H430" s="17" t="inlineStr">
        <is>
          <t>DOC-C14-004</t>
        </is>
      </c>
      <c r="I430" s="18" t="inlineStr">
        <is>
          <t>Ecossistema, Arquitetura das plataformas: 'OWNED 01 executar.com / Blog - Fonte canonica do conteudo | OWNED 02 Biblioteca Executar | OWNED 03 E-mail / newsletter | OWNED 04 Executar / comunidade futura | DISTRIBUICAO 01 YouTube | 02 Instagram | 03 TikTok | 04 LinkedIn'.</t>
        </is>
      </c>
      <c r="J430" s="17" t="inlineStr">
        <is>
          <t>strong</t>
        </is>
      </c>
      <c r="K430" s="17" t="inlineStr">
        <is>
          <t>0.9</t>
        </is>
      </c>
      <c r="L430" s="17" t="inlineStr">
        <is>
          <t>fact</t>
        </is>
      </c>
    </row>
    <row r="431">
      <c r="A431" s="17" t="inlineStr">
        <is>
          <t>EV-30bdc3bf0f</t>
        </is>
      </c>
      <c r="B431" s="17" t="inlineStr">
        <is>
          <t>strategic_analysis</t>
        </is>
      </c>
      <c r="C431" s="17" t="inlineStr">
        <is>
          <t>r2</t>
        </is>
      </c>
      <c r="D431" s="18" t="inlineStr">
        <is>
          <t>O acervo define quatro canais proprios e quatro de distribuicao, com o blog como fonte canonica.</t>
        </is>
      </c>
      <c r="E431" s="17" t="inlineStr">
        <is>
          <t>SA-11A</t>
        </is>
      </c>
      <c r="F431" s="17" t="inlineStr">
        <is>
          <t>where_to_play</t>
        </is>
      </c>
      <c r="G431" s="17" t="inlineStr">
        <is>
          <t>ECO-08</t>
        </is>
      </c>
      <c r="H431" s="17" t="inlineStr">
        <is>
          <t>DOC-C14-005</t>
        </is>
      </c>
      <c r="I431" s="18" t="inlineStr">
        <is>
          <t>Ecossistema, Arquitetura das plataformas: 'OWNED 01 executar.com / Blog - Fonte canonica do conteudo | OWNED 02 Biblioteca Executar | OWNED 03 E-mail / newsletter | OWNED 04 Executar / comunidade futura | DISTRIBUICAO 01 YouTube | 02 Instagram | 03 TikTok | 04 LinkedIn'.</t>
        </is>
      </c>
      <c r="J431" s="17" t="inlineStr">
        <is>
          <t>strong</t>
        </is>
      </c>
      <c r="K431" s="17" t="inlineStr">
        <is>
          <t>0.9</t>
        </is>
      </c>
      <c r="L431" s="17" t="inlineStr">
        <is>
          <t>fact</t>
        </is>
      </c>
    </row>
    <row r="432">
      <c r="A432" s="17" t="inlineStr">
        <is>
          <t>EV-ca6635812a</t>
        </is>
      </c>
      <c r="B432" s="17" t="inlineStr">
        <is>
          <t>strategic_analysis</t>
        </is>
      </c>
      <c r="C432" s="17" t="inlineStr">
        <is>
          <t>r2</t>
        </is>
      </c>
      <c r="D432" s="18" t="inlineStr">
        <is>
          <t>O acervo define quatro canais proprios e quatro de distribuicao, com o blog como fonte canonica.</t>
        </is>
      </c>
      <c r="E432" s="17" t="inlineStr">
        <is>
          <t>SA-11A</t>
        </is>
      </c>
      <c r="F432" s="17" t="inlineStr">
        <is>
          <t>where_to_play</t>
        </is>
      </c>
      <c r="G432" s="17" t="inlineStr">
        <is>
          <t>ECO-08</t>
        </is>
      </c>
      <c r="H432" s="17" t="inlineStr">
        <is>
          <t>DOC-C14-006</t>
        </is>
      </c>
      <c r="I432" s="18" t="inlineStr">
        <is>
          <t>Ecossistema, Arquitetura das plataformas: 'OWNED 01 executar.com / Blog - Fonte canonica do conteudo | OWNED 02 Biblioteca Executar | OWNED 03 E-mail / newsletter | OWNED 04 Executar / comunidade futura | DISTRIBUICAO 01 YouTube | 02 Instagram | 03 TikTok | 04 LinkedIn'.</t>
        </is>
      </c>
      <c r="J432" s="17" t="inlineStr">
        <is>
          <t>strong</t>
        </is>
      </c>
      <c r="K432" s="17" t="inlineStr">
        <is>
          <t>0.9</t>
        </is>
      </c>
      <c r="L432" s="17" t="inlineStr">
        <is>
          <t>fact</t>
        </is>
      </c>
    </row>
    <row r="433">
      <c r="A433" s="17" t="inlineStr">
        <is>
          <t>EV-f1376f4f24</t>
        </is>
      </c>
      <c r="B433" s="17" t="inlineStr">
        <is>
          <t>strategic_analysis</t>
        </is>
      </c>
      <c r="C433" s="17" t="inlineStr">
        <is>
          <t>r2</t>
        </is>
      </c>
      <c r="D433" s="18" t="inlineStr">
        <is>
          <t>A forma de vencer declarada e vender sistema e nao objeto, com desconto de bundle derivado da margem e nao arbitrado.</t>
        </is>
      </c>
      <c r="E433" s="17" t="inlineStr">
        <is>
          <t>SA-11B</t>
        </is>
      </c>
      <c r="F433" s="17" t="inlineStr">
        <is>
          <t>how_to_win</t>
        </is>
      </c>
      <c r="G433" s="17" t="inlineStr">
        <is>
          <t>ECO-04</t>
        </is>
      </c>
      <c r="H433" s="17" t="inlineStr">
        <is>
          <t>DOC-C05-001</t>
        </is>
      </c>
      <c r="I433" s="18" t="inlineStr">
        <is>
          <t>Ecossistema, 'Como estruturar o desconto do kit': '1 Definir preco individual sustentavel para cada SKU | 2 Somar todos os precos individuais | 3 Calcular o custo variavel real do kit | 4 Definir a margem minima aceitavel do bundle | 5 So entao encontrar o desconto maximo possivel | 6 Comunicar economize R$ X comprando o sistema completo'; e o alerta 'Nao faria: somar tudo, tirar 20% arbitrariamente'.</t>
        </is>
      </c>
      <c r="J433" s="17" t="inlineStr">
        <is>
          <t>strong</t>
        </is>
      </c>
      <c r="K433" s="17" t="inlineStr">
        <is>
          <t>0.9</t>
        </is>
      </c>
      <c r="L433" s="17" t="inlineStr">
        <is>
          <t>fact</t>
        </is>
      </c>
    </row>
    <row r="434">
      <c r="A434" s="17" t="inlineStr">
        <is>
          <t>EV-fc9dab793b</t>
        </is>
      </c>
      <c r="B434" s="17" t="inlineStr">
        <is>
          <t>strategic_analysis</t>
        </is>
      </c>
      <c r="C434" s="17" t="inlineStr">
        <is>
          <t>r2</t>
        </is>
      </c>
      <c r="D434" s="18" t="inlineStr">
        <is>
          <t>A forma de vencer no infoproduto e por experiencia interativa e nao por volume de conteudo.</t>
        </is>
      </c>
      <c r="E434" s="17" t="inlineStr">
        <is>
          <t>SA-11B</t>
        </is>
      </c>
      <c r="F434" s="17" t="inlineStr">
        <is>
          <t>how_to_win</t>
        </is>
      </c>
      <c r="G434" s="17" t="inlineStr">
        <is>
          <t>ECO-05</t>
        </is>
      </c>
      <c r="H434" s="17" t="inlineStr">
        <is>
          <t>DOC-C05-001</t>
        </is>
      </c>
      <c r="I434" s="18" t="inlineStr">
        <is>
          <t>Ecossistema: 'Eu nao usaria numero de paginas como metrica principal, porque o produto e interativo'; padrao: 'Macrofases 4 | Capitulos principais 12-16 | PDF equivalente ~60-100 paginas visuais | Exercicios centrais 8-12 | Mapas/diagramas 12+ | Checkpoints interativos 1+ por capitulo'.</t>
        </is>
      </c>
      <c r="J434" s="17" t="inlineStr">
        <is>
          <t>strong</t>
        </is>
      </c>
      <c r="K434" s="17" t="inlineStr">
        <is>
          <t>0.85</t>
        </is>
      </c>
      <c r="L434" s="17" t="inlineStr">
        <is>
          <t>fact</t>
        </is>
      </c>
    </row>
    <row r="435">
      <c r="A435" s="17" t="inlineStr">
        <is>
          <t>EV-eba98938ac</t>
        </is>
      </c>
      <c r="B435" s="17" t="inlineStr">
        <is>
          <t>strategic_analysis</t>
        </is>
      </c>
      <c r="C435" s="17" t="inlineStr">
        <is>
          <t>r2</t>
        </is>
      </c>
      <c r="D435" s="18" t="inlineStr">
        <is>
          <t>A forma de vencer com o livro autoral e delimitar a reivindicacao a integracao especifica, e nao ao ineditismo.</t>
        </is>
      </c>
      <c r="E435" s="17" t="inlineStr">
        <is>
          <t>SA-11B</t>
        </is>
      </c>
      <c r="F435" s="17" t="inlineStr">
        <is>
          <t>how_to_win</t>
        </is>
      </c>
      <c r="G435" s="17" t="inlineStr">
        <is>
          <t>ECO-06</t>
        </is>
      </c>
      <c r="H435" s="17" t="inlineStr">
        <is>
          <t>DOC-C02-039</t>
        </is>
      </c>
      <c r="I435" s="18" t="inlineStr">
        <is>
          <t>BMC, Prevencao: 'Manter a reivindicacao restrita a integracao especifica entre funcoes executivas, risco de execucao, controles compensatorios e gestao de projetos, submetendo-a a revisao e tentativa de falsificacao'.</t>
        </is>
      </c>
      <c r="J435" s="17" t="inlineStr">
        <is>
          <t>strong</t>
        </is>
      </c>
      <c r="K435" s="17" t="inlineStr">
        <is>
          <t>0.9</t>
        </is>
      </c>
      <c r="L435" s="17" t="inlineStr">
        <is>
          <t>fact</t>
        </is>
      </c>
    </row>
    <row r="436">
      <c r="A436" s="17" t="inlineStr">
        <is>
          <t>EV-e4c0c41e79</t>
        </is>
      </c>
      <c r="B436" s="17" t="inlineStr">
        <is>
          <t>strategic_analysis</t>
        </is>
      </c>
      <c r="C436" s="17" t="inlineStr">
        <is>
          <t>r2</t>
        </is>
      </c>
      <c r="D436" s="18" t="inlineStr">
        <is>
          <t>A forma de vencer com o livro autoral e delimitar a reivindicacao a integracao especifica, e nao ao ineditismo.</t>
        </is>
      </c>
      <c r="E436" s="17" t="inlineStr">
        <is>
          <t>SA-11B</t>
        </is>
      </c>
      <c r="F436" s="17" t="inlineStr">
        <is>
          <t>how_to_win</t>
        </is>
      </c>
      <c r="G436" s="17" t="inlineStr">
        <is>
          <t>ECO-06</t>
        </is>
      </c>
      <c r="H436" s="17" t="inlineStr">
        <is>
          <t>DOC-C02-042</t>
        </is>
      </c>
      <c r="I436" s="18" t="inlineStr">
        <is>
          <t>BMC, Prevencao: 'Manter a reivindicacao restrita a integracao especifica entre funcoes executivas, risco de execucao, controles compensatorios e gestao de projetos, submetendo-a a revisao e tentativa de falsificacao'.</t>
        </is>
      </c>
      <c r="J436" s="17" t="inlineStr">
        <is>
          <t>strong</t>
        </is>
      </c>
      <c r="K436" s="17" t="inlineStr">
        <is>
          <t>0.9</t>
        </is>
      </c>
      <c r="L436" s="17" t="inlineStr">
        <is>
          <t>fact</t>
        </is>
      </c>
    </row>
    <row r="437">
      <c r="A437" s="17" t="inlineStr">
        <is>
          <t>EV-9303b1b9c0</t>
        </is>
      </c>
      <c r="B437" s="17" t="inlineStr">
        <is>
          <t>strategic_analysis</t>
        </is>
      </c>
      <c r="C437" s="17" t="inlineStr">
        <is>
          <t>r2</t>
        </is>
      </c>
      <c r="D437" s="18" t="inlineStr">
        <is>
          <t>A forma de vencer no ecossistema creator e converter plataforma alugada em ativo proprio a cada peca.</t>
        </is>
      </c>
      <c r="E437" s="17" t="inlineStr">
        <is>
          <t>SA-11B</t>
        </is>
      </c>
      <c r="F437" s="17" t="inlineStr">
        <is>
          <t>how_to_win</t>
        </is>
      </c>
      <c r="G437" s="17" t="inlineStr">
        <is>
          <t>ECO-08</t>
        </is>
      </c>
      <c r="H437" s="17" t="inlineStr">
        <is>
          <t>DOC-C05-001</t>
        </is>
      </c>
      <c r="I437" s="18" t="inlineStr">
        <is>
          <t>Ecossistema, cadeia unica de valor editorial: '07 Distribuicao multicanal Alcance | 08 Biblioteca / newsletter Retencao'; e o ciclo 'PESQUISAR, ENTENDER, ESTRUTURAR, EXECUTAR, EVOLUIR, DOCUMENTAR, PUBLICAR, CONVERTER, APRENDER, PESQUISAR'.</t>
        </is>
      </c>
      <c r="J437" s="17" t="inlineStr">
        <is>
          <t>strong</t>
        </is>
      </c>
      <c r="K437" s="17" t="inlineStr">
        <is>
          <t>0.85</t>
        </is>
      </c>
      <c r="L437" s="17" t="inlineStr">
        <is>
          <t>fact</t>
        </is>
      </c>
    </row>
    <row r="438">
      <c r="A438" s="17" t="inlineStr">
        <is>
          <t>EV-0218756df5</t>
        </is>
      </c>
      <c r="B438" s="17" t="inlineStr">
        <is>
          <t>strategic_analysis</t>
        </is>
      </c>
      <c r="C438" s="17" t="inlineStr">
        <is>
          <t>r2</t>
        </is>
      </c>
      <c r="D438" s="18" t="inlineStr">
        <is>
          <t>O requisito minimo da linha fisica no lancamento e uma pagina de produto com lista de interesse e chamada CH-009.</t>
        </is>
      </c>
      <c r="E438" s="17" t="inlineStr">
        <is>
          <t>SA-12</t>
        </is>
      </c>
      <c r="F438" s="17" t="inlineStr">
        <is>
          <t>requirements</t>
        </is>
      </c>
      <c r="G438" s="17" t="inlineStr">
        <is>
          <t>ECO-04</t>
        </is>
      </c>
      <c r="H438" s="17" t="inlineStr">
        <is>
          <t>DOC-C08-004</t>
        </is>
      </c>
      <c r="I438" s="18" t="inlineStr">
        <is>
          <t>DOC-C08-004, registro de chamadas: 'CH-009 | Conhecer o Office Kit | produto/lista de interesse | Produtos fisicos | criar destino'; DOC-C08-006: 'RT-005 | loja | preencher | verificar'; DOC-C08-003: 'Conteudo de produto fisico depende de Pagina de produto ou lista de interesse'.</t>
        </is>
      </c>
      <c r="J438" s="17" t="inlineStr">
        <is>
          <t>strong</t>
        </is>
      </c>
      <c r="K438" s="17" t="inlineStr">
        <is>
          <t>0.9</t>
        </is>
      </c>
      <c r="L438" s="17" t="inlineStr">
        <is>
          <t>fact</t>
        </is>
      </c>
    </row>
    <row r="439">
      <c r="A439" s="17" t="inlineStr">
        <is>
          <t>EV-a5df1d8ba2</t>
        </is>
      </c>
      <c r="B439" s="17" t="inlineStr">
        <is>
          <t>strategic_analysis</t>
        </is>
      </c>
      <c r="C439" s="17" t="inlineStr">
        <is>
          <t>r2</t>
        </is>
      </c>
      <c r="D439" s="18" t="inlineStr">
        <is>
          <t>O requisito minimo da linha fisica no lancamento e uma pagina de produto com lista de interesse e chamada CH-009.</t>
        </is>
      </c>
      <c r="E439" s="17" t="inlineStr">
        <is>
          <t>SA-12</t>
        </is>
      </c>
      <c r="F439" s="17" t="inlineStr">
        <is>
          <t>requirements</t>
        </is>
      </c>
      <c r="G439" s="17" t="inlineStr">
        <is>
          <t>ECO-04</t>
        </is>
      </c>
      <c r="H439" s="17" t="inlineStr">
        <is>
          <t>DOC-C08-006</t>
        </is>
      </c>
      <c r="I439" s="18" t="inlineStr">
        <is>
          <t>DOC-C08-004, registro de chamadas: 'CH-009 | Conhecer o Office Kit | produto/lista de interesse | Produtos fisicos | criar destino'; DOC-C08-006: 'RT-005 | loja | preencher | verificar'; DOC-C08-003: 'Conteudo de produto fisico depende de Pagina de produto ou lista de interesse'.</t>
        </is>
      </c>
      <c r="J439" s="17" t="inlineStr">
        <is>
          <t>strong</t>
        </is>
      </c>
      <c r="K439" s="17" t="inlineStr">
        <is>
          <t>0.9</t>
        </is>
      </c>
      <c r="L439" s="17" t="inlineStr">
        <is>
          <t>fact</t>
        </is>
      </c>
    </row>
    <row r="440">
      <c r="A440" s="17" t="inlineStr">
        <is>
          <t>EV-c3b1bddde0</t>
        </is>
      </c>
      <c r="B440" s="17" t="inlineStr">
        <is>
          <t>strategic_analysis</t>
        </is>
      </c>
      <c r="C440" s="17" t="inlineStr">
        <is>
          <t>r2</t>
        </is>
      </c>
      <c r="D440" s="18" t="inlineStr">
        <is>
          <t>O requisito minimo da linha fisica no lancamento e uma pagina de produto com lista de interesse e chamada CH-009.</t>
        </is>
      </c>
      <c r="E440" s="17" t="inlineStr">
        <is>
          <t>SA-12</t>
        </is>
      </c>
      <c r="F440" s="17" t="inlineStr">
        <is>
          <t>requirements</t>
        </is>
      </c>
      <c r="G440" s="17" t="inlineStr">
        <is>
          <t>ECO-04</t>
        </is>
      </c>
      <c r="H440" s="17" t="inlineStr">
        <is>
          <t>DOC-C08-003</t>
        </is>
      </c>
      <c r="I440" s="18" t="inlineStr">
        <is>
          <t>DOC-C08-004, registro de chamadas: 'CH-009 | Conhecer o Office Kit | produto/lista de interesse | Produtos fisicos | criar destino'; DOC-C08-006: 'RT-005 | loja | preencher | verificar'; DOC-C08-003: 'Conteudo de produto fisico depende de Pagina de produto ou lista de interesse'.</t>
        </is>
      </c>
      <c r="J440" s="17" t="inlineStr">
        <is>
          <t>strong</t>
        </is>
      </c>
      <c r="K440" s="17" t="inlineStr">
        <is>
          <t>0.9</t>
        </is>
      </c>
      <c r="L440" s="17" t="inlineStr">
        <is>
          <t>fact</t>
        </is>
      </c>
    </row>
    <row r="441">
      <c r="A441" s="17" t="inlineStr">
        <is>
          <t>EV-aea017eda4</t>
        </is>
      </c>
      <c r="B441" s="17" t="inlineStr">
        <is>
          <t>strategic_analysis</t>
        </is>
      </c>
      <c r="C441" s="17" t="inlineStr">
        <is>
          <t>r2</t>
        </is>
      </c>
      <c r="D441" s="18" t="inlineStr">
        <is>
          <t>O requisito de cadastro do infoproduto tem dez itens explicitos, dos quais preco e area de membros ainda nao tem valor definido na nota.</t>
        </is>
      </c>
      <c r="E441" s="17" t="inlineStr">
        <is>
          <t>SA-12</t>
        </is>
      </c>
      <c r="F441" s="17" t="inlineStr">
        <is>
          <t>requirements</t>
        </is>
      </c>
      <c r="G441" s="17" t="inlineStr">
        <is>
          <t>ECO-05</t>
        </is>
      </c>
      <c r="H441" s="17" t="inlineStr">
        <is>
          <t>DOC-C09-015</t>
        </is>
      </c>
      <c r="I441" s="18" t="inlineStr">
        <is>
          <t>DOC-C09-015, 'Cadastrar': 'produto; autoria; descricao; capa; preco; arquivos ou area de membros; pagina de venda/destino; termos aplicaveis; ligacao de pagamento; teste de compra quando possivel'; 'Evidencia: Registrar ligacao final e captura/estado de aprovacao ou disponibilidade'.</t>
        </is>
      </c>
      <c r="J441" s="17" t="inlineStr">
        <is>
          <t>strong</t>
        </is>
      </c>
      <c r="K441" s="17" t="inlineStr">
        <is>
          <t>0.9</t>
        </is>
      </c>
      <c r="L441" s="17" t="inlineStr">
        <is>
          <t>fact</t>
        </is>
      </c>
    </row>
    <row r="442">
      <c r="A442" s="17" t="inlineStr">
        <is>
          <t>EV-813e4bfc2d</t>
        </is>
      </c>
      <c r="B442" s="17" t="inlineStr">
        <is>
          <t>strategic_analysis</t>
        </is>
      </c>
      <c r="C442" s="17" t="inlineStr">
        <is>
          <t>r2</t>
        </is>
      </c>
      <c r="D442" s="18" t="inlineStr">
        <is>
          <t>O requisito do curso inclui declarar o que esta disponivel no lancamento e o que tem data posterior.</t>
        </is>
      </c>
      <c r="E442" s="17" t="inlineStr">
        <is>
          <t>SA-12</t>
        </is>
      </c>
      <c r="F442" s="17" t="inlineStr">
        <is>
          <t>requirements</t>
        </is>
      </c>
      <c r="G442" s="17" t="inlineStr">
        <is>
          <t>ECO-05</t>
        </is>
      </c>
      <c r="H442" s="17" t="inlineStr">
        <is>
          <t>DOC-C09-013</t>
        </is>
      </c>
      <c r="I442" s="18" t="inlineStr">
        <is>
          <t>DOC-C09-013, 'Para fechar no lancamento': 'descricao e promessa; estrutura dos modulos; condicao de lancamento; pagina/cadastro; chamada CH-005; indicar claramente o que esta disponivel no lancamento e o que possui data posterior, se aplicavel'.</t>
        </is>
      </c>
      <c r="J442" s="17" t="inlineStr">
        <is>
          <t>strong</t>
        </is>
      </c>
      <c r="K442" s="17" t="inlineStr">
        <is>
          <t>0.9</t>
        </is>
      </c>
      <c r="L442" s="17" t="inlineStr">
        <is>
          <t>fact</t>
        </is>
      </c>
    </row>
    <row r="443">
      <c r="A443" s="17" t="inlineStr">
        <is>
          <t>EV-73e3d9fca5</t>
        </is>
      </c>
      <c r="B443" s="17" t="inlineStr">
        <is>
          <t>strategic_analysis</t>
        </is>
      </c>
      <c r="C443" s="17" t="inlineStr">
        <is>
          <t>r2</t>
        </is>
      </c>
      <c r="D443" s="18" t="inlineStr">
        <is>
          <t>O requisito do curso inclui declarar o que esta disponivel no lancamento e o que tem data posterior.</t>
        </is>
      </c>
      <c r="E443" s="17" t="inlineStr">
        <is>
          <t>SA-12</t>
        </is>
      </c>
      <c r="F443" s="17" t="inlineStr">
        <is>
          <t>requirements</t>
        </is>
      </c>
      <c r="G443" s="17" t="inlineStr">
        <is>
          <t>ECO-05</t>
        </is>
      </c>
      <c r="H443" s="17" t="inlineStr">
        <is>
          <t>DOC-C08-004</t>
        </is>
      </c>
      <c r="I443" s="18" t="inlineStr">
        <is>
          <t>DOC-C09-013, 'Para fechar no lancamento': 'descricao e promessa; estrutura dos modulos; condicao de lancamento; pagina/cadastro; chamada CH-005; indicar claramente o que esta disponivel no lancamento e o que possui data posterior, se aplicavel'.</t>
        </is>
      </c>
      <c r="J443" s="17" t="inlineStr">
        <is>
          <t>strong</t>
        </is>
      </c>
      <c r="K443" s="17" t="inlineStr">
        <is>
          <t>0.9</t>
        </is>
      </c>
      <c r="L443" s="17" t="inlineStr">
        <is>
          <t>fact</t>
        </is>
      </c>
    </row>
    <row r="444">
      <c r="A444" s="17" t="inlineStr">
        <is>
          <t>EV-17d7b111b8</t>
        </is>
      </c>
      <c r="B444" s="17" t="inlineStr">
        <is>
          <t>strategic_analysis</t>
        </is>
      </c>
      <c r="C444" s="17" t="inlineStr">
        <is>
          <t>r2</t>
        </is>
      </c>
      <c r="D444" s="18" t="inlineStr">
        <is>
          <t>O requisito do livro digital inclui formato duplo, interativo mais PDF complementar, o que dobra o entregavel por titulo.</t>
        </is>
      </c>
      <c r="E444" s="17" t="inlineStr">
        <is>
          <t>SA-12</t>
        </is>
      </c>
      <c r="F444" s="17" t="inlineStr">
        <is>
          <t>requirements</t>
        </is>
      </c>
      <c r="G444" s="17" t="inlineStr">
        <is>
          <t>ECO-06</t>
        </is>
      </c>
      <c r="H444" s="17" t="inlineStr">
        <is>
          <t>DOC-C09-011</t>
        </is>
      </c>
      <c r="I444" s="18" t="inlineStr">
        <is>
          <t>DOC-C09-011, 'Para fechar': 'capa e descricao; estrutura 4E; formato interativo + PDF complementar; preco/condicao inicial; pagina propria; cadastro Hotmart; chamada CH-004'.</t>
        </is>
      </c>
      <c r="J444" s="17" t="inlineStr">
        <is>
          <t>strong</t>
        </is>
      </c>
      <c r="K444" s="17" t="inlineStr">
        <is>
          <t>0.9</t>
        </is>
      </c>
      <c r="L444" s="17" t="inlineStr">
        <is>
          <t>fact</t>
        </is>
      </c>
    </row>
    <row r="445">
      <c r="A445" s="17" t="inlineStr">
        <is>
          <t>EV-7d46faf86b</t>
        </is>
      </c>
      <c r="B445" s="17" t="inlineStr">
        <is>
          <t>strategic_analysis</t>
        </is>
      </c>
      <c r="C445" s="17" t="inlineStr">
        <is>
          <t>r2</t>
        </is>
      </c>
      <c r="D445" s="18" t="inlineStr">
        <is>
          <t>O requisito do livro digital inclui formato duplo, interativo mais PDF complementar, o que dobra o entregavel por titulo.</t>
        </is>
      </c>
      <c r="E445" s="17" t="inlineStr">
        <is>
          <t>SA-12</t>
        </is>
      </c>
      <c r="F445" s="17" t="inlineStr">
        <is>
          <t>requirements</t>
        </is>
      </c>
      <c r="G445" s="17" t="inlineStr">
        <is>
          <t>ECO-06</t>
        </is>
      </c>
      <c r="H445" s="17" t="inlineStr">
        <is>
          <t>DOC-C08-004</t>
        </is>
      </c>
      <c r="I445" s="18" t="inlineStr">
        <is>
          <t>DOC-C09-011, 'Para fechar': 'capa e descricao; estrutura 4E; formato interativo + PDF complementar; preco/condicao inicial; pagina propria; cadastro Hotmart; chamada CH-004'.</t>
        </is>
      </c>
      <c r="J445" s="17" t="inlineStr">
        <is>
          <t>strong</t>
        </is>
      </c>
      <c r="K445" s="17" t="inlineStr">
        <is>
          <t>0.9</t>
        </is>
      </c>
      <c r="L445" s="17" t="inlineStr">
        <is>
          <t>fact</t>
        </is>
      </c>
    </row>
    <row r="446">
      <c r="A446" s="17" t="inlineStr">
        <is>
          <t>EV-a741298194</t>
        </is>
      </c>
      <c r="B446" s="17" t="inlineStr">
        <is>
          <t>strategic_analysis</t>
        </is>
      </c>
      <c r="C446" s="17" t="inlineStr">
        <is>
          <t>r2</t>
        </is>
      </c>
      <c r="D446" s="18" t="inlineStr">
        <is>
          <t>O requisito de afiliados tem seis itens e uma restricao editorial explicita de uso.</t>
        </is>
      </c>
      <c r="E446" s="17" t="inlineStr">
        <is>
          <t>SA-12</t>
        </is>
      </c>
      <c r="F446" s="17" t="inlineStr">
        <is>
          <t>requirements</t>
        </is>
      </c>
      <c r="G446" s="17" t="inlineStr">
        <is>
          <t>ECO-08</t>
        </is>
      </c>
      <c r="H446" s="17" t="inlineStr">
        <is>
          <t>DOC-C09-018</t>
        </is>
      </c>
      <c r="I446" s="18" t="inlineStr">
        <is>
          <t>DOC-C09-018, 'Para fechar': 'cadastrar programa de afiliados; criar identificadores por canal; gerar ligacoes de associado; registrar aviso de transparencia; inserir apenas em conteudos em que a referencia seja realmente usada; testar CH-007'; nucleo inicial: Barkley 'Vencendo o TDAH Adulto', Barkley 'Executive Functions', Ana Beatriz Barbosa Silva 'Mentes Inquietas'.</t>
        </is>
      </c>
      <c r="J446" s="17" t="inlineStr">
        <is>
          <t>strong</t>
        </is>
      </c>
      <c r="K446" s="17" t="inlineStr">
        <is>
          <t>0.9</t>
        </is>
      </c>
      <c r="L446" s="17" t="inlineStr">
        <is>
          <t>fact</t>
        </is>
      </c>
    </row>
    <row r="447">
      <c r="A447" s="17" t="inlineStr">
        <is>
          <t>EV-f2ca3f238e</t>
        </is>
      </c>
      <c r="B447" s="17" t="inlineStr">
        <is>
          <t>strategic_analysis</t>
        </is>
      </c>
      <c r="C447" s="17" t="inlineStr">
        <is>
          <t>r2</t>
        </is>
      </c>
      <c r="D447" s="18" t="inlineStr">
        <is>
          <t>O requisito de afiliados tem seis itens e uma restricao editorial explicita de uso.</t>
        </is>
      </c>
      <c r="E447" s="17" t="inlineStr">
        <is>
          <t>SA-12</t>
        </is>
      </c>
      <c r="F447" s="17" t="inlineStr">
        <is>
          <t>requirements</t>
        </is>
      </c>
      <c r="G447" s="17" t="inlineStr">
        <is>
          <t>ECO-08</t>
        </is>
      </c>
      <c r="H447" s="17" t="inlineStr">
        <is>
          <t>DOC-C08-004</t>
        </is>
      </c>
      <c r="I447" s="18" t="inlineStr">
        <is>
          <t>DOC-C09-018, 'Para fechar': 'cadastrar programa de afiliados; criar identificadores por canal; gerar ligacoes de associado; registrar aviso de transparencia; inserir apenas em conteudos em que a referencia seja realmente usada; testar CH-007'; nucleo inicial: Barkley 'Vencendo o TDAH Adulto', Barkley 'Executive Functions', Ana Beatriz Barbosa Silva 'Mentes Inquietas'.</t>
        </is>
      </c>
      <c r="J447" s="17" t="inlineStr">
        <is>
          <t>strong</t>
        </is>
      </c>
      <c r="K447" s="17" t="inlineStr">
        <is>
          <t>0.9</t>
        </is>
      </c>
      <c r="L447" s="17" t="inlineStr">
        <is>
          <t>fact</t>
        </is>
      </c>
    </row>
    <row r="448">
      <c r="A448" s="17" t="inlineStr">
        <is>
          <t>EV-e3e1c79777</t>
        </is>
      </c>
      <c r="B448" s="17" t="inlineStr">
        <is>
          <t>strategic_analysis</t>
        </is>
      </c>
      <c r="C448" s="17" t="inlineStr">
        <is>
          <t>r2</t>
        </is>
      </c>
      <c r="D448" s="18" t="inlineStr">
        <is>
          <t>A pagina Loja e requisito compartilhado por produtos fisicos e infoprodutos, com escopo ainda nao delimitado.</t>
        </is>
      </c>
      <c r="E448" s="17" t="inlineStr">
        <is>
          <t>SA-12</t>
        </is>
      </c>
      <c r="F448" s="17" t="inlineStr">
        <is>
          <t>requirements</t>
        </is>
      </c>
      <c r="G448" s="17" t="inlineStr">
        <is>
          <t>ECO-04</t>
        </is>
      </c>
      <c r="H448" s="17" t="inlineStr">
        <is>
          <t>DOC-C12-008</t>
        </is>
      </c>
      <c r="I448" s="18" t="inlineStr">
        <is>
          <t>DOC-C12-008, Loja: 'Objetivo: produtos fisicos + infoprodutos. Chamada principal: CH-004 / CH-009. Fechar: confirmar texto canonico; confirmar rota; conferir imagens; conferir chamadas; conferir celular; testar medicao'.</t>
        </is>
      </c>
      <c r="J448" s="17" t="inlineStr">
        <is>
          <t>strong</t>
        </is>
      </c>
      <c r="K448" s="17" t="inlineStr">
        <is>
          <t>0.85</t>
        </is>
      </c>
      <c r="L448" s="17" t="inlineStr">
        <is>
          <t>fact</t>
        </is>
      </c>
    </row>
    <row r="449">
      <c r="A449" s="17" t="inlineStr">
        <is>
          <t>EV-ddeb11ee5d</t>
        </is>
      </c>
      <c r="B449" s="17" t="inlineStr">
        <is>
          <t>strategic_analysis</t>
        </is>
      </c>
      <c r="C449" s="17" t="inlineStr">
        <is>
          <t>r2</t>
        </is>
      </c>
      <c r="D449" s="18" t="inlineStr">
        <is>
          <t>A pagina Loja e requisito compartilhado por produtos fisicos e infoprodutos, com escopo ainda nao delimitado.</t>
        </is>
      </c>
      <c r="E449" s="17" t="inlineStr">
        <is>
          <t>SA-12</t>
        </is>
      </c>
      <c r="F449" s="17" t="inlineStr">
        <is>
          <t>requirements</t>
        </is>
      </c>
      <c r="G449" s="17" t="inlineStr">
        <is>
          <t>ECO-04</t>
        </is>
      </c>
      <c r="H449" s="17" t="inlineStr">
        <is>
          <t>DOC-C08-004</t>
        </is>
      </c>
      <c r="I449" s="18" t="inlineStr">
        <is>
          <t>DOC-C12-008, Loja: 'Objetivo: produtos fisicos + infoprodutos. Chamada principal: CH-004 / CH-009. Fechar: confirmar texto canonico; confirmar rota; conferir imagens; conferir chamadas; conferir celular; testar medicao'.</t>
        </is>
      </c>
      <c r="J449" s="17" t="inlineStr">
        <is>
          <t>strong</t>
        </is>
      </c>
      <c r="K449" s="17" t="inlineStr">
        <is>
          <t>0.85</t>
        </is>
      </c>
      <c r="L449" s="17" t="inlineStr">
        <is>
          <t>fact</t>
        </is>
      </c>
    </row>
    <row r="450">
      <c r="A450" s="17" t="inlineStr">
        <is>
          <t>EV-7450f6f084</t>
        </is>
      </c>
      <c r="B450" s="17" t="inlineStr">
        <is>
          <t>strategic_analysis</t>
        </is>
      </c>
      <c r="C450" s="17" t="inlineStr">
        <is>
          <t>r2</t>
        </is>
      </c>
      <c r="D450" s="18" t="inlineStr">
        <is>
          <t>Todas as ofertas, inclusive a fisica, precisam estar prontas para receber trafego no D3, 27/08, com 6 horas planejadas.</t>
        </is>
      </c>
      <c r="E450" s="17" t="inlineStr">
        <is>
          <t>SA-13</t>
        </is>
      </c>
      <c r="F450" s="17" t="inlineStr">
        <is>
          <t>gtm</t>
        </is>
      </c>
      <c r="G450" s="17" t="inlineStr">
        <is>
          <t>ECO-04</t>
        </is>
      </c>
      <c r="H450" s="17" t="inlineStr">
        <is>
          <t>DOC-C15-006</t>
        </is>
      </c>
      <c r="I450" s="18" t="inlineStr">
        <is>
          <t>DOC-C15-006: 'Resultado do dia: Ofertas prontas para receber trafego'; fila: '1 Fechar apresentacao do aplicativo, Estudio e produtos fisicos'; 'horas_planejadas: 6'; 'Concluido quando: Ofertas tem mensagem, destino, chamada e caminho de conversao definidos'.</t>
        </is>
      </c>
      <c r="J450" s="17" t="inlineStr">
        <is>
          <t>strong</t>
        </is>
      </c>
      <c r="K450" s="17" t="inlineStr">
        <is>
          <t>0.9</t>
        </is>
      </c>
      <c r="L450" s="17" t="inlineStr">
        <is>
          <t>fact</t>
        </is>
      </c>
    </row>
    <row r="451">
      <c r="A451" s="17" t="inlineStr">
        <is>
          <t>EV-5af3e37d61</t>
        </is>
      </c>
      <c r="B451" s="17" t="inlineStr">
        <is>
          <t>strategic_analysis</t>
        </is>
      </c>
      <c r="C451" s="17" t="inlineStr">
        <is>
          <t>r2</t>
        </is>
      </c>
      <c r="D451" s="18" t="inlineStr">
        <is>
          <t>Todas as ofertas, inclusive a fisica, precisam estar prontas para receber trafego no D3, 27/08, com 6 horas planejadas.</t>
        </is>
      </c>
      <c r="E451" s="17" t="inlineStr">
        <is>
          <t>SA-13</t>
        </is>
      </c>
      <c r="F451" s="17" t="inlineStr">
        <is>
          <t>gtm</t>
        </is>
      </c>
      <c r="G451" s="17" t="inlineStr">
        <is>
          <t>ECO-04</t>
        </is>
      </c>
      <c r="H451" s="17" t="inlineStr">
        <is>
          <t>DOC-C08-011</t>
        </is>
      </c>
      <c r="I451" s="18" t="inlineStr">
        <is>
          <t>DOC-C15-006: 'Resultado do dia: Ofertas prontas para receber trafego'; fila: '1 Fechar apresentacao do aplicativo, Estudio e produtos fisicos'; 'horas_planejadas: 6'; 'Concluido quando: Ofertas tem mensagem, destino, chamada e caminho de conversao definidos'.</t>
        </is>
      </c>
      <c r="J451" s="17" t="inlineStr">
        <is>
          <t>strong</t>
        </is>
      </c>
      <c r="K451" s="17" t="inlineStr">
        <is>
          <t>0.9</t>
        </is>
      </c>
      <c r="L451" s="17" t="inlineStr">
        <is>
          <t>fact</t>
        </is>
      </c>
    </row>
    <row r="452">
      <c r="A452" s="17" t="inlineStr">
        <is>
          <t>EV-fc04c194bf</t>
        </is>
      </c>
      <c r="B452" s="17" t="inlineStr">
        <is>
          <t>strategic_analysis</t>
        </is>
      </c>
      <c r="C452" s="17" t="inlineStr">
        <is>
          <t>r2</t>
        </is>
      </c>
      <c r="D452" s="18" t="inlineStr">
        <is>
          <t>O mesmo D3 concentra o cadastro dos tres livros digitais, do curso e da Hotmart, alem dos afiliados e formularios.</t>
        </is>
      </c>
      <c r="E452" s="17" t="inlineStr">
        <is>
          <t>SA-13</t>
        </is>
      </c>
      <c r="F452" s="17" t="inlineStr">
        <is>
          <t>gtm</t>
        </is>
      </c>
      <c r="G452" s="17" t="inlineStr">
        <is>
          <t>ECO-05</t>
        </is>
      </c>
      <c r="H452" s="17" t="inlineStr">
        <is>
          <t>DOC-C15-006</t>
        </is>
      </c>
      <c r="I452" s="18" t="inlineStr">
        <is>
          <t>DOC-C15-006, fila unica do dia: '2 Preparar cadastro dos tres livros digitais e do curso. 3 Configurar ou deixar pronto para configuracao o cadastro Hotmart. 4 Configurar afiliados e gerar as primeiras ligacoes quando a conta estiver habilitada. 5 Testar formularios de servico e captacao.'</t>
        </is>
      </c>
      <c r="J452" s="17" t="inlineStr">
        <is>
          <t>strong</t>
        </is>
      </c>
      <c r="K452" s="17" t="inlineStr">
        <is>
          <t>0.9</t>
        </is>
      </c>
      <c r="L452" s="17" t="inlineStr">
        <is>
          <t>fact</t>
        </is>
      </c>
    </row>
    <row r="453">
      <c r="A453" s="17" t="inlineStr">
        <is>
          <t>EV-acf7027064</t>
        </is>
      </c>
      <c r="B453" s="17" t="inlineStr">
        <is>
          <t>strategic_analysis</t>
        </is>
      </c>
      <c r="C453" s="17" t="inlineStr">
        <is>
          <t>r2</t>
        </is>
      </c>
      <c r="D453" s="18" t="inlineStr">
        <is>
          <t>O mesmo D3 concentra o cadastro dos tres livros digitais, do curso e da Hotmart, alem dos afiliados e formularios.</t>
        </is>
      </c>
      <c r="E453" s="17" t="inlineStr">
        <is>
          <t>SA-13</t>
        </is>
      </c>
      <c r="F453" s="17" t="inlineStr">
        <is>
          <t>gtm</t>
        </is>
      </c>
      <c r="G453" s="17" t="inlineStr">
        <is>
          <t>ECO-05</t>
        </is>
      </c>
      <c r="H453" s="17" t="inlineStr">
        <is>
          <t>DOC-C09-015</t>
        </is>
      </c>
      <c r="I453" s="18" t="inlineStr">
        <is>
          <t>DOC-C15-006, fila unica do dia: '2 Preparar cadastro dos tres livros digitais e do curso. 3 Configurar ou deixar pronto para configuracao o cadastro Hotmart. 4 Configurar afiliados e gerar as primeiras ligacoes quando a conta estiver habilitada. 5 Testar formularios de servico e captacao.'</t>
        </is>
      </c>
      <c r="J453" s="17" t="inlineStr">
        <is>
          <t>strong</t>
        </is>
      </c>
      <c r="K453" s="17" t="inlineStr">
        <is>
          <t>0.9</t>
        </is>
      </c>
      <c r="L453" s="17" t="inlineStr">
        <is>
          <t>fact</t>
        </is>
      </c>
    </row>
    <row r="454">
      <c r="A454" s="17" t="inlineStr">
        <is>
          <t>EV-c39ffa8d93</t>
        </is>
      </c>
      <c r="B454" s="17" t="inlineStr">
        <is>
          <t>strategic_analysis</t>
        </is>
      </c>
      <c r="C454" s="17" t="inlineStr">
        <is>
          <t>r2</t>
        </is>
      </c>
      <c r="D454" s="18" t="inlineStr">
        <is>
          <t>O criterio de congelamento em 05/09 exige que as ofertas digitais estejam cadastradas e a medicao funcionando.</t>
        </is>
      </c>
      <c r="E454" s="17" t="inlineStr">
        <is>
          <t>SA-13</t>
        </is>
      </c>
      <c r="F454" s="17" t="inlineStr">
        <is>
          <t>gtm</t>
        </is>
      </c>
      <c r="G454" s="17" t="inlineStr">
        <is>
          <t>ECO-05</t>
        </is>
      </c>
      <c r="H454" s="17" t="inlineStr">
        <is>
          <t>DOC-C08-007</t>
        </is>
      </c>
      <c r="I454" s="18" t="inlineStr">
        <is>
          <t>DOC-C08-007, '05/09 congelamento': 'ofertas digitais estao cadastradas; ligacoes de afiliado estao identificadas; pecas editoriais estao publicadas ou agendadas; demonstracoes estao acessiveis; materiais para redes estao agendados; medicao basica funciona; nao existe entrega critica aguardando producao'.</t>
        </is>
      </c>
      <c r="J454" s="17" t="inlineStr">
        <is>
          <t>strong</t>
        </is>
      </c>
      <c r="K454" s="17" t="inlineStr">
        <is>
          <t>0.9</t>
        </is>
      </c>
      <c r="L454" s="17" t="inlineStr">
        <is>
          <t>fact</t>
        </is>
      </c>
    </row>
    <row r="455">
      <c r="A455" s="17" t="inlineStr">
        <is>
          <t>EV-77ec99a851</t>
        </is>
      </c>
      <c r="B455" s="17" t="inlineStr">
        <is>
          <t>strategic_analysis</t>
        </is>
      </c>
      <c r="C455" s="17" t="inlineStr">
        <is>
          <t>r2</t>
        </is>
      </c>
      <c r="D455" s="18" t="inlineStr">
        <is>
          <t>O criterio de congelamento em 05/09 exige que as ofertas digitais estejam cadastradas e a medicao funcionando.</t>
        </is>
      </c>
      <c r="E455" s="17" t="inlineStr">
        <is>
          <t>SA-13</t>
        </is>
      </c>
      <c r="F455" s="17" t="inlineStr">
        <is>
          <t>gtm</t>
        </is>
      </c>
      <c r="G455" s="17" t="inlineStr">
        <is>
          <t>ECO-05</t>
        </is>
      </c>
      <c r="H455" s="17" t="inlineStr">
        <is>
          <t>DOC-C16-005</t>
        </is>
      </c>
      <c r="I455" s="18" t="inlineStr">
        <is>
          <t>DOC-C08-007, '05/09 congelamento': 'ofertas digitais estao cadastradas; ligacoes de afiliado estao identificadas; pecas editoriais estao publicadas ou agendadas; demonstracoes estao acessiveis; materiais para redes estao agendados; medicao basica funciona; nao existe entrega critica aguardando producao'.</t>
        </is>
      </c>
      <c r="J455" s="17" t="inlineStr">
        <is>
          <t>strong</t>
        </is>
      </c>
      <c r="K455" s="17" t="inlineStr">
        <is>
          <t>0.9</t>
        </is>
      </c>
      <c r="L455" s="17" t="inlineStr">
        <is>
          <t>fact</t>
        </is>
      </c>
    </row>
    <row r="456">
      <c r="A456" s="17" t="inlineStr">
        <is>
          <t>EV-3a6066d974</t>
        </is>
      </c>
      <c r="B456" s="17" t="inlineStr">
        <is>
          <t>strategic_analysis</t>
        </is>
      </c>
      <c r="C456" s="17" t="inlineStr">
        <is>
          <t>r2</t>
        </is>
      </c>
      <c r="D456" s="18" t="inlineStr">
        <is>
          <t>Os tres canais sociais tem nota de publicacao criada, mas todas estao em situacao 'planejado' e sem grade de datas.</t>
        </is>
      </c>
      <c r="E456" s="17" t="inlineStr">
        <is>
          <t>SA-13</t>
        </is>
      </c>
      <c r="F456" s="17" t="inlineStr">
        <is>
          <t>gtm</t>
        </is>
      </c>
      <c r="G456" s="17" t="inlineStr">
        <is>
          <t>ECO-08</t>
        </is>
      </c>
      <c r="H456" s="17" t="inlineStr">
        <is>
          <t>DOC-C14-004</t>
        </is>
      </c>
      <c r="I456" s="18" t="inlineStr">
        <is>
          <t>DOC-C14-004 (YouTube): 'situacao: planejado. Carregar video, titulo, descricao, miniatura, chamada e agenda'; DOC-C14-005 (Instagram e TikTok): 'Publicar/adaptar videos curtos e pecas visuais com destino claro'; DOC-C14-006 (LinkedIn): 'Adaptar o conteudo para argumento tecnico/profissional e apontar para a fonte canonica'; a agenda mestra tem todas as datas como 'preencher'.</t>
        </is>
      </c>
      <c r="J456" s="17" t="inlineStr">
        <is>
          <t>strong</t>
        </is>
      </c>
      <c r="K456" s="17" t="inlineStr">
        <is>
          <t>0.9</t>
        </is>
      </c>
      <c r="L456" s="17" t="inlineStr">
        <is>
          <t>fact</t>
        </is>
      </c>
    </row>
    <row r="457">
      <c r="A457" s="17" t="inlineStr">
        <is>
          <t>EV-a26a349c1c</t>
        </is>
      </c>
      <c r="B457" s="17" t="inlineStr">
        <is>
          <t>strategic_analysis</t>
        </is>
      </c>
      <c r="C457" s="17" t="inlineStr">
        <is>
          <t>r2</t>
        </is>
      </c>
      <c r="D457" s="18" t="inlineStr">
        <is>
          <t>Os tres canais sociais tem nota de publicacao criada, mas todas estao em situacao 'planejado' e sem grade de datas.</t>
        </is>
      </c>
      <c r="E457" s="17" t="inlineStr">
        <is>
          <t>SA-13</t>
        </is>
      </c>
      <c r="F457" s="17" t="inlineStr">
        <is>
          <t>gtm</t>
        </is>
      </c>
      <c r="G457" s="17" t="inlineStr">
        <is>
          <t>ECO-08</t>
        </is>
      </c>
      <c r="H457" s="17" t="inlineStr">
        <is>
          <t>DOC-C14-005</t>
        </is>
      </c>
      <c r="I457" s="18" t="inlineStr">
        <is>
          <t>DOC-C14-004 (YouTube): 'situacao: planejado. Carregar video, titulo, descricao, miniatura, chamada e agenda'; DOC-C14-005 (Instagram e TikTok): 'Publicar/adaptar videos curtos e pecas visuais com destino claro'; DOC-C14-006 (LinkedIn): 'Adaptar o conteudo para argumento tecnico/profissional e apontar para a fonte canonica'; a agenda mestra tem todas as datas como 'preencher'.</t>
        </is>
      </c>
      <c r="J457" s="17" t="inlineStr">
        <is>
          <t>strong</t>
        </is>
      </c>
      <c r="K457" s="17" t="inlineStr">
        <is>
          <t>0.9</t>
        </is>
      </c>
      <c r="L457" s="17" t="inlineStr">
        <is>
          <t>fact</t>
        </is>
      </c>
    </row>
    <row r="458">
      <c r="A458" s="17" t="inlineStr">
        <is>
          <t>EV-d56f239201</t>
        </is>
      </c>
      <c r="B458" s="17" t="inlineStr">
        <is>
          <t>strategic_analysis</t>
        </is>
      </c>
      <c r="C458" s="17" t="inlineStr">
        <is>
          <t>r2</t>
        </is>
      </c>
      <c r="D458" s="18" t="inlineStr">
        <is>
          <t>Os tres canais sociais tem nota de publicacao criada, mas todas estao em situacao 'planejado' e sem grade de datas.</t>
        </is>
      </c>
      <c r="E458" s="17" t="inlineStr">
        <is>
          <t>SA-13</t>
        </is>
      </c>
      <c r="F458" s="17" t="inlineStr">
        <is>
          <t>gtm</t>
        </is>
      </c>
      <c r="G458" s="17" t="inlineStr">
        <is>
          <t>ECO-08</t>
        </is>
      </c>
      <c r="H458" s="17" t="inlineStr">
        <is>
          <t>DOC-C14-006</t>
        </is>
      </c>
      <c r="I458" s="18" t="inlineStr">
        <is>
          <t>DOC-C14-004 (YouTube): 'situacao: planejado. Carregar video, titulo, descricao, miniatura, chamada e agenda'; DOC-C14-005 (Instagram e TikTok): 'Publicar/adaptar videos curtos e pecas visuais com destino claro'; DOC-C14-006 (LinkedIn): 'Adaptar o conteudo para argumento tecnico/profissional e apontar para a fonte canonica'; a agenda mestra tem todas as datas como 'preencher'.</t>
        </is>
      </c>
      <c r="J458" s="17" t="inlineStr">
        <is>
          <t>strong</t>
        </is>
      </c>
      <c r="K458" s="17" t="inlineStr">
        <is>
          <t>0.9</t>
        </is>
      </c>
      <c r="L458" s="17" t="inlineStr">
        <is>
          <t>fact</t>
        </is>
      </c>
    </row>
    <row r="459">
      <c r="A459" s="17" t="inlineStr">
        <is>
          <t>EV-1bc00bc49b</t>
        </is>
      </c>
      <c r="B459" s="17" t="inlineStr">
        <is>
          <t>strategic_analysis</t>
        </is>
      </c>
      <c r="C459" s="17" t="inlineStr">
        <is>
          <t>r2</t>
        </is>
      </c>
      <c r="D459" s="18" t="inlineStr">
        <is>
          <t>Os tres canais sociais tem nota de publicacao criada, mas todas estao em situacao 'planejado' e sem grade de datas.</t>
        </is>
      </c>
      <c r="E459" s="17" t="inlineStr">
        <is>
          <t>SA-13</t>
        </is>
      </c>
      <c r="F459" s="17" t="inlineStr">
        <is>
          <t>gtm</t>
        </is>
      </c>
      <c r="G459" s="17" t="inlineStr">
        <is>
          <t>ECO-08</t>
        </is>
      </c>
      <c r="H459" s="17" t="inlineStr">
        <is>
          <t>DOC-C14-007</t>
        </is>
      </c>
      <c r="I459" s="18" t="inlineStr">
        <is>
          <t>DOC-C14-004 (YouTube): 'situacao: planejado. Carregar video, titulo, descricao, miniatura, chamada e agenda'; DOC-C14-005 (Instagram e TikTok): 'Publicar/adaptar videos curtos e pecas visuais com destino claro'; DOC-C14-006 (LinkedIn): 'Adaptar o conteudo para argumento tecnico/profissional e apontar para a fonte canonica'; a agenda mestra tem todas as datas como 'preencher'.</t>
        </is>
      </c>
      <c r="J459" s="17" t="inlineStr">
        <is>
          <t>strong</t>
        </is>
      </c>
      <c r="K459" s="17" t="inlineStr">
        <is>
          <t>0.9</t>
        </is>
      </c>
      <c r="L459" s="17" t="inlineStr">
        <is>
          <t>fact</t>
        </is>
      </c>
    </row>
    <row r="460">
      <c r="A460" s="17" t="inlineStr">
        <is>
          <t>EV-0fefc1b8b4</t>
        </is>
      </c>
      <c r="B460" s="17" t="inlineStr">
        <is>
          <t>strategic_analysis</t>
        </is>
      </c>
      <c r="C460" s="17" t="inlineStr">
        <is>
          <t>r2</t>
        </is>
      </c>
      <c r="D460" s="18" t="inlineStr">
        <is>
          <t>A medicao prevista cobre a cadeia completa de conversao, incluindo o elo de afiliado.</t>
        </is>
      </c>
      <c r="E460" s="17" t="inlineStr">
        <is>
          <t>SA-13</t>
        </is>
      </c>
      <c r="F460" s="17" t="inlineStr">
        <is>
          <t>gtm</t>
        </is>
      </c>
      <c r="G460" s="17" t="inlineStr">
        <is>
          <t>ECO-08</t>
        </is>
      </c>
      <c r="H460" s="17" t="inlineStr">
        <is>
          <t>DOC-C16-003</t>
        </is>
      </c>
      <c r="I460" s="18" t="inlineStr">
        <is>
          <t>DOC-C16-003, Medicao 001: 'chamada para destino; formulario para recebimento; pagamento/cadastro para confirmacao; download para arquivo; afiliado para ligacao identificada; principais eventos de acesso/conversao'.</t>
        </is>
      </c>
      <c r="J460" s="17" t="inlineStr">
        <is>
          <t>strong</t>
        </is>
      </c>
      <c r="K460" s="17" t="inlineStr">
        <is>
          <t>0.9</t>
        </is>
      </c>
      <c r="L460" s="17" t="inlineStr">
        <is>
          <t>fact</t>
        </is>
      </c>
    </row>
    <row r="461">
      <c r="A461" s="17" t="inlineStr">
        <is>
          <t>EV-29ca9afe56</t>
        </is>
      </c>
      <c r="B461" s="17" t="inlineStr">
        <is>
          <t>strategic_analysis</t>
        </is>
      </c>
      <c r="C461" s="17" t="inlineStr">
        <is>
          <t>r2</t>
        </is>
      </c>
      <c r="D461" s="18" t="inlineStr">
        <is>
          <t>A medicao prevista cobre a cadeia completa de conversao, incluindo o elo de afiliado.</t>
        </is>
      </c>
      <c r="E461" s="17" t="inlineStr">
        <is>
          <t>SA-13</t>
        </is>
      </c>
      <c r="F461" s="17" t="inlineStr">
        <is>
          <t>gtm</t>
        </is>
      </c>
      <c r="G461" s="17" t="inlineStr">
        <is>
          <t>ECO-08</t>
        </is>
      </c>
      <c r="H461" s="17" t="inlineStr">
        <is>
          <t>DOC-C16-006</t>
        </is>
      </c>
      <c r="I461" s="18" t="inlineStr">
        <is>
          <t>DOC-C16-003, Medicao 001: 'chamada para destino; formulario para recebimento; pagamento/cadastro para confirmacao; download para arquivo; afiliado para ligacao identificada; principais eventos de acesso/conversao'.</t>
        </is>
      </c>
      <c r="J461" s="17" t="inlineStr">
        <is>
          <t>strong</t>
        </is>
      </c>
      <c r="K461" s="17" t="inlineStr">
        <is>
          <t>0.9</t>
        </is>
      </c>
      <c r="L461" s="17" t="inlineStr">
        <is>
          <t>fact</t>
        </is>
      </c>
    </row>
    <row r="462">
      <c r="A462" s="17" t="inlineStr">
        <is>
          <t>EV-6373037709</t>
        </is>
      </c>
      <c r="B462" s="17" t="inlineStr">
        <is>
          <t>strategic_analysis</t>
        </is>
      </c>
      <c r="C462" s="17" t="inlineStr">
        <is>
          <t>r2</t>
        </is>
      </c>
      <c r="D462" s="18" t="inlineStr">
        <is>
          <t>O livro digital e a unica oferta cuja chamada aparece duas vezes no registro, em CH-004 (loja) e indiretamente pela Biblioteca.</t>
        </is>
      </c>
      <c r="E462" s="17" t="inlineStr">
        <is>
          <t>SA-13</t>
        </is>
      </c>
      <c r="F462" s="17" t="inlineStr">
        <is>
          <t>gtm</t>
        </is>
      </c>
      <c r="G462" s="17" t="inlineStr">
        <is>
          <t>ECO-06</t>
        </is>
      </c>
      <c r="H462" s="17" t="inlineStr">
        <is>
          <t>DOC-C08-004</t>
        </is>
      </c>
      <c r="I462" s="18" t="inlineStr">
        <is>
          <t>DOC-C08-004: 'CH-004 | Aplicar com o livro digital | livro digital correspondente | Infoproduto | cadastrar'; DOC-C12-008 define a Loja com 'CH-004 / CH-009'; DOC-C12-009 define a Biblioteca com 'CH-003 / CH-007'.</t>
        </is>
      </c>
      <c r="J462" s="17" t="inlineStr">
        <is>
          <t>strong</t>
        </is>
      </c>
      <c r="K462" s="17" t="inlineStr">
        <is>
          <t>0.85</t>
        </is>
      </c>
      <c r="L462" s="17" t="inlineStr">
        <is>
          <t>fact</t>
        </is>
      </c>
    </row>
    <row r="463">
      <c r="A463" s="17" t="inlineStr">
        <is>
          <t>EV-534b629c84</t>
        </is>
      </c>
      <c r="B463" s="17" t="inlineStr">
        <is>
          <t>strategic_analysis</t>
        </is>
      </c>
      <c r="C463" s="17" t="inlineStr">
        <is>
          <t>r2</t>
        </is>
      </c>
      <c r="D463" s="18" t="inlineStr">
        <is>
          <t>O livro digital e a unica oferta cuja chamada aparece duas vezes no registro, em CH-004 (loja) e indiretamente pela Biblioteca.</t>
        </is>
      </c>
      <c r="E463" s="17" t="inlineStr">
        <is>
          <t>SA-13</t>
        </is>
      </c>
      <c r="F463" s="17" t="inlineStr">
        <is>
          <t>gtm</t>
        </is>
      </c>
      <c r="G463" s="17" t="inlineStr">
        <is>
          <t>ECO-06</t>
        </is>
      </c>
      <c r="H463" s="17" t="inlineStr">
        <is>
          <t>DOC-C12-008</t>
        </is>
      </c>
      <c r="I463" s="18" t="inlineStr">
        <is>
          <t>DOC-C08-004: 'CH-004 | Aplicar com o livro digital | livro digital correspondente | Infoproduto | cadastrar'; DOC-C12-008 define a Loja com 'CH-004 / CH-009'; DOC-C12-009 define a Biblioteca com 'CH-003 / CH-007'.</t>
        </is>
      </c>
      <c r="J463" s="17" t="inlineStr">
        <is>
          <t>strong</t>
        </is>
      </c>
      <c r="K463" s="17" t="inlineStr">
        <is>
          <t>0.85</t>
        </is>
      </c>
      <c r="L463" s="17" t="inlineStr">
        <is>
          <t>fact</t>
        </is>
      </c>
    </row>
    <row r="464">
      <c r="A464" s="17" t="inlineStr">
        <is>
          <t>EV-7783f3b2da</t>
        </is>
      </c>
      <c r="B464" s="17" t="inlineStr">
        <is>
          <t>strategic_analysis</t>
        </is>
      </c>
      <c r="C464" s="17" t="inlineStr">
        <is>
          <t>r2</t>
        </is>
      </c>
      <c r="D464" s="18" t="inlineStr">
        <is>
          <t>O livro digital e a unica oferta cuja chamada aparece duas vezes no registro, em CH-004 (loja) e indiretamente pela Biblioteca.</t>
        </is>
      </c>
      <c r="E464" s="17" t="inlineStr">
        <is>
          <t>SA-13</t>
        </is>
      </c>
      <c r="F464" s="17" t="inlineStr">
        <is>
          <t>gtm</t>
        </is>
      </c>
      <c r="G464" s="17" t="inlineStr">
        <is>
          <t>ECO-06</t>
        </is>
      </c>
      <c r="H464" s="17" t="inlineStr">
        <is>
          <t>DOC-C12-009</t>
        </is>
      </c>
      <c r="I464" s="18" t="inlineStr">
        <is>
          <t>DOC-C08-004: 'CH-004 | Aplicar com o livro digital | livro digital correspondente | Infoproduto | cadastrar'; DOC-C12-008 define a Loja com 'CH-004 / CH-009'; DOC-C12-009 define a Biblioteca com 'CH-003 / CH-007'.</t>
        </is>
      </c>
      <c r="J464" s="17" t="inlineStr">
        <is>
          <t>strong</t>
        </is>
      </c>
      <c r="K464" s="17" t="inlineStr">
        <is>
          <t>0.85</t>
        </is>
      </c>
      <c r="L464" s="17" t="inlineStr">
        <is>
          <t>fact</t>
        </is>
      </c>
    </row>
    <row r="465">
      <c r="A465" s="17" t="inlineStr">
        <is>
          <t>EV-717719b0ac</t>
        </is>
      </c>
      <c r="B465" s="17" t="inlineStr">
        <is>
          <t>strategic_analysis</t>
        </is>
      </c>
      <c r="C465" s="17" t="inlineStr">
        <is>
          <t>r2</t>
        </is>
      </c>
      <c r="D465" s="18" t="inlineStr">
        <is>
          <t>A regra de passagem do lancamento e sequencial e bloqueante, o que significa que um atraso na linha fisica trava os dias seguintes.</t>
        </is>
      </c>
      <c r="E465" s="17" t="inlineStr">
        <is>
          <t>SA-13</t>
        </is>
      </c>
      <c r="F465" s="17" t="inlineStr">
        <is>
          <t>gtm</t>
        </is>
      </c>
      <c r="G465" s="17" t="inlineStr">
        <is>
          <t>ECO-04</t>
        </is>
      </c>
      <c r="H465" s="17" t="inlineStr">
        <is>
          <t>DOC-C18-002</t>
        </is>
      </c>
      <c r="I465" s="18" t="inlineStr">
        <is>
          <t>DOC-C18-002, Regra de passagem: 'Um dia so libera o seguinte quando o resultado, a evidencia e as pendencias criticas daquele dia estiverem fechados'; DOC-C08-011: 'Entre no dia atual e permaneca nele ate concluir. Cada dia libera o seguinte'.</t>
        </is>
      </c>
      <c r="J465" s="17" t="inlineStr">
        <is>
          <t>strong</t>
        </is>
      </c>
      <c r="K465" s="17" t="inlineStr">
        <is>
          <t>0.9</t>
        </is>
      </c>
      <c r="L465" s="17" t="inlineStr">
        <is>
          <t>fact</t>
        </is>
      </c>
    </row>
    <row r="466">
      <c r="A466" s="17" t="inlineStr">
        <is>
          <t>EV-b96af98811</t>
        </is>
      </c>
      <c r="B466" s="17" t="inlineStr">
        <is>
          <t>strategic_analysis</t>
        </is>
      </c>
      <c r="C466" s="17" t="inlineStr">
        <is>
          <t>r2</t>
        </is>
      </c>
      <c r="D466" s="18" t="inlineStr">
        <is>
          <t>A regra de passagem do lancamento e sequencial e bloqueante, o que significa que um atraso na linha fisica trava os dias seguintes.</t>
        </is>
      </c>
      <c r="E466" s="17" t="inlineStr">
        <is>
          <t>SA-13</t>
        </is>
      </c>
      <c r="F466" s="17" t="inlineStr">
        <is>
          <t>gtm</t>
        </is>
      </c>
      <c r="G466" s="17" t="inlineStr">
        <is>
          <t>ECO-04</t>
        </is>
      </c>
      <c r="H466" s="17" t="inlineStr">
        <is>
          <t>DOC-C08-011</t>
        </is>
      </c>
      <c r="I466" s="18" t="inlineStr">
        <is>
          <t>DOC-C18-002, Regra de passagem: 'Um dia so libera o seguinte quando o resultado, a evidencia e as pendencias criticas daquele dia estiverem fechados'; DOC-C08-011: 'Entre no dia atual e permaneca nele ate concluir. Cada dia libera o seguinte'.</t>
        </is>
      </c>
      <c r="J466" s="17" t="inlineStr">
        <is>
          <t>strong</t>
        </is>
      </c>
      <c r="K466" s="17" t="inlineStr">
        <is>
          <t>0.9</t>
        </is>
      </c>
      <c r="L466" s="17" t="inlineStr">
        <is>
          <t>fact</t>
        </is>
      </c>
    </row>
    <row r="467">
      <c r="A467" s="17" t="inlineStr">
        <is>
          <t>EV-0edc4e635a</t>
        </is>
      </c>
      <c r="B467" s="17" t="inlineStr">
        <is>
          <t>strategic_analysis</t>
        </is>
      </c>
      <c r="C467" s="17" t="inlineStr">
        <is>
          <t>r2</t>
        </is>
      </c>
      <c r="D467" s="18" t="inlineStr">
        <is>
          <t>A fronteira ECO-06 esta contida dentro de ECO-05 na propria arvore de pastas e na nota de visao: livros digitais sao um filho de Infoprodutos.</t>
        </is>
      </c>
      <c r="E467" s="17" t="inlineStr">
        <is>
          <t>SA-03A</t>
        </is>
      </c>
      <c r="F467" s="17" t="inlineStr">
        <is>
          <t>unit_boundary</t>
        </is>
      </c>
      <c r="G467" s="17" t="inlineStr">
        <is>
          <t>ECO-06</t>
        </is>
      </c>
      <c r="H467" s="17" t="inlineStr">
        <is>
          <t>DOC-C18-003</t>
        </is>
      </c>
      <c r="I467" s="18" t="inlineStr">
        <is>
          <t>ARVORE-DE-PASTAS.txt: '01-OFERTAS/ ... 04-INFOPRODUTOS/ 01-LIVROS-DIGITAIS/ 02-CURSO/ 03-HOTMART/'; DOC-C09-016 lista sob 'Mergulhe aqui': 'Livros digitais | Curso | Hotmart'; DOC-C09-009 lista as pastas 'Livros Digitais, Curso, Hotmart' como subpastas de Infoprodutos.</t>
        </is>
      </c>
      <c r="J467" s="17" t="inlineStr">
        <is>
          <t>strong</t>
        </is>
      </c>
      <c r="K467" s="17" t="inlineStr">
        <is>
          <t>0.95</t>
        </is>
      </c>
      <c r="L467" s="17" t="inlineStr">
        <is>
          <t>conflict</t>
        </is>
      </c>
    </row>
    <row r="468">
      <c r="A468" s="17" t="inlineStr">
        <is>
          <t>EV-f5933d26a7</t>
        </is>
      </c>
      <c r="B468" s="17" t="inlineStr">
        <is>
          <t>strategic_analysis</t>
        </is>
      </c>
      <c r="C468" s="17" t="inlineStr">
        <is>
          <t>r2</t>
        </is>
      </c>
      <c r="D468" s="18" t="inlineStr">
        <is>
          <t>A fronteira ECO-06 esta contida dentro de ECO-05 na propria arvore de pastas e na nota de visao: livros digitais sao um filho de Infoprodutos.</t>
        </is>
      </c>
      <c r="E468" s="17" t="inlineStr">
        <is>
          <t>SA-03A</t>
        </is>
      </c>
      <c r="F468" s="17" t="inlineStr">
        <is>
          <t>unit_boundary</t>
        </is>
      </c>
      <c r="G468" s="17" t="inlineStr">
        <is>
          <t>ECO-06</t>
        </is>
      </c>
      <c r="H468" s="17" t="inlineStr">
        <is>
          <t>DOC-C09-016</t>
        </is>
      </c>
      <c r="I468" s="18" t="inlineStr">
        <is>
          <t>ARVORE-DE-PASTAS.txt: '01-OFERTAS/ ... 04-INFOPRODUTOS/ 01-LIVROS-DIGITAIS/ 02-CURSO/ 03-HOTMART/'; DOC-C09-016 lista sob 'Mergulhe aqui': 'Livros digitais | Curso | Hotmart'; DOC-C09-009 lista as pastas 'Livros Digitais, Curso, Hotmart' como subpastas de Infoprodutos.</t>
        </is>
      </c>
      <c r="J468" s="17" t="inlineStr">
        <is>
          <t>strong</t>
        </is>
      </c>
      <c r="K468" s="17" t="inlineStr">
        <is>
          <t>0.95</t>
        </is>
      </c>
      <c r="L468" s="17" t="inlineStr">
        <is>
          <t>conflict</t>
        </is>
      </c>
    </row>
    <row r="469">
      <c r="A469" s="17" t="inlineStr">
        <is>
          <t>EV-b75959f76e</t>
        </is>
      </c>
      <c r="B469" s="17" t="inlineStr">
        <is>
          <t>strategic_analysis</t>
        </is>
      </c>
      <c r="C469" s="17" t="inlineStr">
        <is>
          <t>r2</t>
        </is>
      </c>
      <c r="D469" s="18" t="inlineStr">
        <is>
          <t>A fronteira ECO-06 esta contida dentro de ECO-05 na propria arvore de pastas e na nota de visao: livros digitais sao um filho de Infoprodutos.</t>
        </is>
      </c>
      <c r="E469" s="17" t="inlineStr">
        <is>
          <t>SA-03A</t>
        </is>
      </c>
      <c r="F469" s="17" t="inlineStr">
        <is>
          <t>unit_boundary</t>
        </is>
      </c>
      <c r="G469" s="17" t="inlineStr">
        <is>
          <t>ECO-06</t>
        </is>
      </c>
      <c r="H469" s="17" t="inlineStr">
        <is>
          <t>DOC-C09-009</t>
        </is>
      </c>
      <c r="I469" s="18" t="inlineStr">
        <is>
          <t>ARVORE-DE-PASTAS.txt: '01-OFERTAS/ ... 04-INFOPRODUTOS/ 01-LIVROS-DIGITAIS/ 02-CURSO/ 03-HOTMART/'; DOC-C09-016 lista sob 'Mergulhe aqui': 'Livros digitais | Curso | Hotmart'; DOC-C09-009 lista as pastas 'Livros Digitais, Curso, Hotmart' como subpastas de Infoprodutos.</t>
        </is>
      </c>
      <c r="J469" s="17" t="inlineStr">
        <is>
          <t>strong</t>
        </is>
      </c>
      <c r="K469" s="17" t="inlineStr">
        <is>
          <t>0.95</t>
        </is>
      </c>
      <c r="L469" s="17" t="inlineStr">
        <is>
          <t>conflict</t>
        </is>
      </c>
    </row>
    <row r="470">
      <c r="A470" s="17" t="inlineStr">
        <is>
          <t>EV-43f73d6d01</t>
        </is>
      </c>
      <c r="B470" s="17" t="inlineStr">
        <is>
          <t>strategic_analysis</t>
        </is>
      </c>
      <c r="C470" s="17" t="inlineStr">
        <is>
          <t>r2</t>
        </is>
      </c>
      <c r="D470" s="18" t="inlineStr">
        <is>
          <t>A fronteira ECO-06 esta contida dentro de ECO-05 na propria arvore de pastas e na nota de visao: livros digitais sao um filho de Infoprodutos.</t>
        </is>
      </c>
      <c r="E470" s="17" t="inlineStr">
        <is>
          <t>SA-03A</t>
        </is>
      </c>
      <c r="F470" s="17" t="inlineStr">
        <is>
          <t>unit_boundary</t>
        </is>
      </c>
      <c r="G470" s="17" t="inlineStr">
        <is>
          <t>ECO-06</t>
        </is>
      </c>
      <c r="H470" s="17" t="inlineStr">
        <is>
          <t>DOC-C09-010</t>
        </is>
      </c>
      <c r="I470" s="18" t="inlineStr">
        <is>
          <t>ARVORE-DE-PASTAS.txt: '01-OFERTAS/ ... 04-INFOPRODUTOS/ 01-LIVROS-DIGITAIS/ 02-CURSO/ 03-HOTMART/'; DOC-C09-016 lista sob 'Mergulhe aqui': 'Livros digitais | Curso | Hotmart'; DOC-C09-009 lista as pastas 'Livros Digitais, Curso, Hotmart' como subpastas de Infoprodutos.</t>
        </is>
      </c>
      <c r="J470" s="17" t="inlineStr">
        <is>
          <t>strong</t>
        </is>
      </c>
      <c r="K470" s="17" t="inlineStr">
        <is>
          <t>0.95</t>
        </is>
      </c>
      <c r="L470" s="17" t="inlineStr">
        <is>
          <t>conflict</t>
        </is>
      </c>
    </row>
    <row r="471">
      <c r="A471" s="17" t="inlineStr">
        <is>
          <t>EV-6058a98747</t>
        </is>
      </c>
      <c r="B471" s="17" t="inlineStr">
        <is>
          <t>strategic_analysis</t>
        </is>
      </c>
      <c r="C471" s="17" t="inlineStr">
        <is>
          <t>r2</t>
        </is>
      </c>
      <c r="D471" s="18" t="inlineStr">
        <is>
          <t>Existem dois objetos distintos chamados livro no acervo, e apenas um deles esta na pasta de infoprodutos.</t>
        </is>
      </c>
      <c r="E471" s="17" t="inlineStr">
        <is>
          <t>SA-03A</t>
        </is>
      </c>
      <c r="F471" s="17" t="inlineStr">
        <is>
          <t>unit_boundary</t>
        </is>
      </c>
      <c r="G471" s="17" t="inlineStr">
        <is>
          <t>ECO-06</t>
        </is>
      </c>
      <c r="H471" s="17" t="inlineStr">
        <is>
          <t>DOC-C09-011</t>
        </is>
      </c>
      <c r="I471" s="18" t="inlineStr">
        <is>
          <t>Objeto A - livros digitais comerciais: DOC-C09-011 'Aplicando o TDAH Adulto | TDAH e Gestao de Riscos na Pratica | Gerenciando o TDAH Adulto 360', estado 'estruturar cadastro'. Objeto B - livro autoral de expansao intelectual: MASTER_INDEX RC-028 'artigo/manifesto v0, white paper/framework v1, aplicacao no EXECUTAR, casos/dados, artigo academico, livro/curso', prazo DEPOIS; texto 2.txt: 'white paper/livro/curso = expansao intelectual'.</t>
        </is>
      </c>
      <c r="J471" s="17" t="inlineStr">
        <is>
          <t>strong</t>
        </is>
      </c>
      <c r="K471" s="17" t="inlineStr">
        <is>
          <t>0.9</t>
        </is>
      </c>
      <c r="L471" s="17" t="inlineStr">
        <is>
          <t>conflict</t>
        </is>
      </c>
    </row>
    <row r="472">
      <c r="A472" s="17" t="inlineStr">
        <is>
          <t>EV-dec324d198</t>
        </is>
      </c>
      <c r="B472" s="17" t="inlineStr">
        <is>
          <t>strategic_analysis</t>
        </is>
      </c>
      <c r="C472" s="17" t="inlineStr">
        <is>
          <t>r2</t>
        </is>
      </c>
      <c r="D472" s="18" t="inlineStr">
        <is>
          <t>Existem dois objetos distintos chamados livro no acervo, e apenas um deles esta na pasta de infoprodutos.</t>
        </is>
      </c>
      <c r="E472" s="17" t="inlineStr">
        <is>
          <t>SA-03A</t>
        </is>
      </c>
      <c r="F472" s="17" t="inlineStr">
        <is>
          <t>unit_boundary</t>
        </is>
      </c>
      <c r="G472" s="17" t="inlineStr">
        <is>
          <t>ECO-06</t>
        </is>
      </c>
      <c r="H472" s="17" t="inlineStr">
        <is>
          <t>DOC-C02-002</t>
        </is>
      </c>
      <c r="I472" s="18" t="inlineStr">
        <is>
          <t>Objeto A - livros digitais comerciais: DOC-C09-011 'Aplicando o TDAH Adulto | TDAH e Gestao de Riscos na Pratica | Gerenciando o TDAH Adulto 360', estado 'estruturar cadastro'. Objeto B - livro autoral de expansao intelectual: MASTER_INDEX RC-028 'artigo/manifesto v0, white paper/framework v1, aplicacao no EXECUTAR, casos/dados, artigo academico, livro/curso', prazo DEPOIS; texto 2.txt: 'white paper/livro/curso = expansao intelectual'.</t>
        </is>
      </c>
      <c r="J472" s="17" t="inlineStr">
        <is>
          <t>strong</t>
        </is>
      </c>
      <c r="K472" s="17" t="inlineStr">
        <is>
          <t>0.9</t>
        </is>
      </c>
      <c r="L472" s="17" t="inlineStr">
        <is>
          <t>conflict</t>
        </is>
      </c>
    </row>
    <row r="473">
      <c r="A473" s="17" t="inlineStr">
        <is>
          <t>EV-6312453155</t>
        </is>
      </c>
      <c r="B473" s="17" t="inlineStr">
        <is>
          <t>strategic_analysis</t>
        </is>
      </c>
      <c r="C473" s="17" t="inlineStr">
        <is>
          <t>r2</t>
        </is>
      </c>
      <c r="D473" s="18" t="inlineStr">
        <is>
          <t>Existem dois objetos distintos chamados livro no acervo, e apenas um deles esta na pasta de infoprodutos.</t>
        </is>
      </c>
      <c r="E473" s="17" t="inlineStr">
        <is>
          <t>SA-03A</t>
        </is>
      </c>
      <c r="F473" s="17" t="inlineStr">
        <is>
          <t>unit_boundary</t>
        </is>
      </c>
      <c r="G473" s="17" t="inlineStr">
        <is>
          <t>ECO-06</t>
        </is>
      </c>
      <c r="H473" s="17" t="inlineStr">
        <is>
          <t>DOC-C02-042</t>
        </is>
      </c>
      <c r="I473" s="18" t="inlineStr">
        <is>
          <t>Objeto A - livros digitais comerciais: DOC-C09-011 'Aplicando o TDAH Adulto | TDAH e Gestao de Riscos na Pratica | Gerenciando o TDAH Adulto 360', estado 'estruturar cadastro'. Objeto B - livro autoral de expansao intelectual: MASTER_INDEX RC-028 'artigo/manifesto v0, white paper/framework v1, aplicacao no EXECUTAR, casos/dados, artigo academico, livro/curso', prazo DEPOIS; texto 2.txt: 'white paper/livro/curso = expansao intelectual'.</t>
        </is>
      </c>
      <c r="J473" s="17" t="inlineStr">
        <is>
          <t>strong</t>
        </is>
      </c>
      <c r="K473" s="17" t="inlineStr">
        <is>
          <t>0.9</t>
        </is>
      </c>
      <c r="L473" s="17" t="inlineStr">
        <is>
          <t>conflict</t>
        </is>
      </c>
    </row>
    <row r="474">
      <c r="A474" s="17" t="inlineStr">
        <is>
          <t>EV-1c47021e1e</t>
        </is>
      </c>
      <c r="B474" s="17" t="inlineStr">
        <is>
          <t>strategic_analysis</t>
        </is>
      </c>
      <c r="C474" s="17" t="inlineStr">
        <is>
          <t>r2</t>
        </is>
      </c>
      <c r="D474" s="18" t="inlineStr">
        <is>
          <t>O catalogo de livros na peca visual diverge do catalogo do documento de oferta: cinco titulos versus tres, sem o titulo de gestao de riscos.</t>
        </is>
      </c>
      <c r="E474" s="17" t="inlineStr">
        <is>
          <t>SA-05</t>
        </is>
      </c>
      <c r="F474" s="17" t="inlineStr">
        <is>
          <t>catalog_conflict</t>
        </is>
      </c>
      <c r="G474" s="17" t="inlineStr">
        <is>
          <t>ECO-06</t>
        </is>
      </c>
      <c r="H474" s="17" t="inlineStr">
        <is>
          <t>DOC-C09-011</t>
        </is>
      </c>
      <c r="I474" s="18" t="inlineStr">
        <is>
          <t>DOC-C09-011 lista tres linhas: 'Aplicando o TDAH Adulto | TDAH e Gestao de Riscos na Pratica | Gerenciando o TDAH Adulto 360'. A referencia visual da biblioteca mostra cinco capas: 'Aplicando o TDAH Adulto (Adultos) | TDAH Kids (Kids) | Gerenciando o TDAH Adulto (Adultos) | Gerenciando o TDAH Kids (Familias) | Automacoes Neuroadaptadas (Automacoes)'. Em DOC-C05-001, Kids e automacoes constam como 'I4+ Kids, familias, automacoes etc. - Biblioteca futura - Roadmap'.</t>
        </is>
      </c>
      <c r="J474" s="17" t="inlineStr">
        <is>
          <t>strong</t>
        </is>
      </c>
      <c r="K474" s="17" t="inlineStr">
        <is>
          <t>0.9</t>
        </is>
      </c>
      <c r="L474" s="17" t="inlineStr">
        <is>
          <t>conflict</t>
        </is>
      </c>
    </row>
    <row r="475">
      <c r="A475" s="17" t="inlineStr">
        <is>
          <t>EV-edd173c044</t>
        </is>
      </c>
      <c r="B475" s="17" t="inlineStr">
        <is>
          <t>strategic_analysis</t>
        </is>
      </c>
      <c r="C475" s="17" t="inlineStr">
        <is>
          <t>r2</t>
        </is>
      </c>
      <c r="D475" s="18" t="inlineStr">
        <is>
          <t>O catalogo de livros na peca visual diverge do catalogo do documento de oferta: cinco titulos versus tres, sem o titulo de gestao de riscos.</t>
        </is>
      </c>
      <c r="E475" s="17" t="inlineStr">
        <is>
          <t>SA-05</t>
        </is>
      </c>
      <c r="F475" s="17" t="inlineStr">
        <is>
          <t>catalog_conflict</t>
        </is>
      </c>
      <c r="G475" s="17" t="inlineStr">
        <is>
          <t>ECO-06</t>
        </is>
      </c>
      <c r="H475" s="17" t="inlineStr">
        <is>
          <t>DOC-C13-005</t>
        </is>
      </c>
      <c r="I475" s="18" t="inlineStr">
        <is>
          <t>DOC-C09-011 lista tres linhas: 'Aplicando o TDAH Adulto | TDAH e Gestao de Riscos na Pratica | Gerenciando o TDAH Adulto 360'. A referencia visual da biblioteca mostra cinco capas: 'Aplicando o TDAH Adulto (Adultos) | TDAH Kids (Kids) | Gerenciando o TDAH Adulto (Adultos) | Gerenciando o TDAH Kids (Familias) | Automacoes Neuroadaptadas (Automacoes)'. Em DOC-C05-001, Kids e automacoes constam como 'I4+ Kids, familias, automacoes etc. - Biblioteca futura - Roadmap'.</t>
        </is>
      </c>
      <c r="J475" s="17" t="inlineStr">
        <is>
          <t>strong</t>
        </is>
      </c>
      <c r="K475" s="17" t="inlineStr">
        <is>
          <t>0.9</t>
        </is>
      </c>
      <c r="L475" s="17" t="inlineStr">
        <is>
          <t>conflict</t>
        </is>
      </c>
    </row>
    <row r="476">
      <c r="A476" s="17" t="inlineStr">
        <is>
          <t>EV-c2a7675836</t>
        </is>
      </c>
      <c r="B476" s="17" t="inlineStr">
        <is>
          <t>strategic_analysis</t>
        </is>
      </c>
      <c r="C476" s="17" t="inlineStr">
        <is>
          <t>r2</t>
        </is>
      </c>
      <c r="D476" s="18" t="inlineStr">
        <is>
          <t>O catalogo de livros na peca visual diverge do catalogo do documento de oferta: cinco titulos versus tres, sem o titulo de gestao de riscos.</t>
        </is>
      </c>
      <c r="E476" s="17" t="inlineStr">
        <is>
          <t>SA-05</t>
        </is>
      </c>
      <c r="F476" s="17" t="inlineStr">
        <is>
          <t>catalog_conflict</t>
        </is>
      </c>
      <c r="G476" s="17" t="inlineStr">
        <is>
          <t>ECO-06</t>
        </is>
      </c>
      <c r="H476" s="17" t="inlineStr">
        <is>
          <t>DOC-C05-001</t>
        </is>
      </c>
      <c r="I476" s="18" t="inlineStr">
        <is>
          <t>DOC-C09-011 lista tres linhas: 'Aplicando o TDAH Adulto | TDAH e Gestao de Riscos na Pratica | Gerenciando o TDAH Adulto 360'. A referencia visual da biblioteca mostra cinco capas: 'Aplicando o TDAH Adulto (Adultos) | TDAH Kids (Kids) | Gerenciando o TDAH Adulto (Adultos) | Gerenciando o TDAH Kids (Familias) | Automacoes Neuroadaptadas (Automacoes)'. Em DOC-C05-001, Kids e automacoes constam como 'I4+ Kids, familias, automacoes etc. - Biblioteca futura - Roadmap'.</t>
        </is>
      </c>
      <c r="J476" s="17" t="inlineStr">
        <is>
          <t>strong</t>
        </is>
      </c>
      <c r="K476" s="17" t="inlineStr">
        <is>
          <t>0.9</t>
        </is>
      </c>
      <c r="L476" s="17" t="inlineStr">
        <is>
          <t>conflict</t>
        </is>
      </c>
    </row>
    <row r="477">
      <c r="A477" s="17" t="inlineStr">
        <is>
          <t>EV-b0ad607b12</t>
        </is>
      </c>
      <c r="B477" s="17" t="inlineStr">
        <is>
          <t>strategic_analysis</t>
        </is>
      </c>
      <c r="C477" s="17" t="inlineStr">
        <is>
          <t>r2</t>
        </is>
      </c>
      <c r="D477" s="18" t="inlineStr">
        <is>
          <t>O nome 'Gerenciando o TDAH Adulto' identifica ao mesmo tempo o curso, um e-book na capa de referencia e um e-book '360' na nota de oferta.</t>
        </is>
      </c>
      <c r="E477" s="17" t="inlineStr">
        <is>
          <t>SA-12</t>
        </is>
      </c>
      <c r="F477" s="17" t="inlineStr">
        <is>
          <t>naming_conflict</t>
        </is>
      </c>
      <c r="G477" s="17" t="inlineStr">
        <is>
          <t>ECO-05</t>
        </is>
      </c>
      <c r="H477" s="17" t="inlineStr">
        <is>
          <t>DOC-C09-013</t>
        </is>
      </c>
      <c r="I477" s="18" t="inlineStr">
        <is>
          <t>DOC-C09-013: 'Curso - Gerenciando o TDAH Adulto'. DOC-C09-011: e-book 'Gerenciando o TDAH Adulto 360 - visao sistemica'. Referencia visual: capa com selo 'E-book' e titulo 'GERENCIANDO O TDAH ADULTO - Trabalho, foco e execucao - Projetos, clientes, processos, rotina'.</t>
        </is>
      </c>
      <c r="J477" s="17" t="inlineStr">
        <is>
          <t>strong</t>
        </is>
      </c>
      <c r="K477" s="17" t="inlineStr">
        <is>
          <t>0.9</t>
        </is>
      </c>
      <c r="L477" s="17" t="inlineStr">
        <is>
          <t>conflict</t>
        </is>
      </c>
    </row>
    <row r="478">
      <c r="A478" s="17" t="inlineStr">
        <is>
          <t>EV-b147cc183b</t>
        </is>
      </c>
      <c r="B478" s="17" t="inlineStr">
        <is>
          <t>strategic_analysis</t>
        </is>
      </c>
      <c r="C478" s="17" t="inlineStr">
        <is>
          <t>r2</t>
        </is>
      </c>
      <c r="D478" s="18" t="inlineStr">
        <is>
          <t>O nome 'Gerenciando o TDAH Adulto' identifica ao mesmo tempo o curso, um e-book na capa de referencia e um e-book '360' na nota de oferta.</t>
        </is>
      </c>
      <c r="E478" s="17" t="inlineStr">
        <is>
          <t>SA-12</t>
        </is>
      </c>
      <c r="F478" s="17" t="inlineStr">
        <is>
          <t>naming_conflict</t>
        </is>
      </c>
      <c r="G478" s="17" t="inlineStr">
        <is>
          <t>ECO-05</t>
        </is>
      </c>
      <c r="H478" s="17" t="inlineStr">
        <is>
          <t>DOC-C09-011</t>
        </is>
      </c>
      <c r="I478" s="18" t="inlineStr">
        <is>
          <t>DOC-C09-013: 'Curso - Gerenciando o TDAH Adulto'. DOC-C09-011: e-book 'Gerenciando o TDAH Adulto 360 - visao sistemica'. Referencia visual: capa com selo 'E-book' e titulo 'GERENCIANDO O TDAH ADULTO - Trabalho, foco e execucao - Projetos, clientes, processos, rotina'.</t>
        </is>
      </c>
      <c r="J478" s="17" t="inlineStr">
        <is>
          <t>strong</t>
        </is>
      </c>
      <c r="K478" s="17" t="inlineStr">
        <is>
          <t>0.9</t>
        </is>
      </c>
      <c r="L478" s="17" t="inlineStr">
        <is>
          <t>conflict</t>
        </is>
      </c>
    </row>
    <row r="479">
      <c r="A479" s="17" t="inlineStr">
        <is>
          <t>EV-c1db471609</t>
        </is>
      </c>
      <c r="B479" s="17" t="inlineStr">
        <is>
          <t>strategic_analysis</t>
        </is>
      </c>
      <c r="C479" s="17" t="inlineStr">
        <is>
          <t>r2</t>
        </is>
      </c>
      <c r="D479" s="18" t="inlineStr">
        <is>
          <t>O nome 'Gerenciando o TDAH Adulto' identifica ao mesmo tempo o curso, um e-book na capa de referencia e um e-book '360' na nota de oferta.</t>
        </is>
      </c>
      <c r="E479" s="17" t="inlineStr">
        <is>
          <t>SA-12</t>
        </is>
      </c>
      <c r="F479" s="17" t="inlineStr">
        <is>
          <t>naming_conflict</t>
        </is>
      </c>
      <c r="G479" s="17" t="inlineStr">
        <is>
          <t>ECO-05</t>
        </is>
      </c>
      <c r="H479" s="17" t="inlineStr">
        <is>
          <t>DOC-C13-007</t>
        </is>
      </c>
      <c r="I479" s="18" t="inlineStr">
        <is>
          <t>DOC-C09-013: 'Curso - Gerenciando o TDAH Adulto'. DOC-C09-011: e-book 'Gerenciando o TDAH Adulto 360 - visao sistemica'. Referencia visual: capa com selo 'E-book' e titulo 'GERENCIANDO O TDAH ADULTO - Trabalho, foco e execucao - Projetos, clientes, processos, rotina'.</t>
        </is>
      </c>
      <c r="J479" s="17" t="inlineStr">
        <is>
          <t>strong</t>
        </is>
      </c>
      <c r="K479" s="17" t="inlineStr">
        <is>
          <t>0.9</t>
        </is>
      </c>
      <c r="L479" s="17" t="inlineStr">
        <is>
          <t>conflict</t>
        </is>
      </c>
    </row>
    <row r="480">
      <c r="A480" s="17" t="inlineStr">
        <is>
          <t>EV-7d76ec486a</t>
        </is>
      </c>
      <c r="B480" s="17" t="inlineStr">
        <is>
          <t>strategic_analysis</t>
        </is>
      </c>
      <c r="C480" s="17" t="inlineStr">
        <is>
          <t>r2</t>
        </is>
      </c>
      <c r="D480" s="18" t="inlineStr">
        <is>
          <t>Existem duas versoes incompativeis do bundle fisico: uma composicao com Timer e organizacao a R$ 369 e outra so de papelaria a R$ 349.</t>
        </is>
      </c>
      <c r="E480" s="17" t="inlineStr">
        <is>
          <t>SA-06B</t>
        </is>
      </c>
      <c r="F480" s="17" t="inlineStr">
        <is>
          <t>pricing_conflict</t>
        </is>
      </c>
      <c r="G480" s="17" t="inlineStr">
        <is>
          <t>ECO-04</t>
        </is>
      </c>
      <c r="H480" s="17" t="inlineStr">
        <is>
          <t>DOC-C09-008</t>
        </is>
      </c>
      <c r="I480" s="18" t="inlineStr">
        <is>
          <t>Versao A - DOC-C09-008 e DOC-C05-001: 'Executar Office Kit: Neurobook + Timer 45 + Organizacao + componentes de mesa/reprints selecionados'; exemplo 'Neurobook R$ 149 + Timer R$ 119 + Organizacao R$ 79 + acessorios R$ 99 = R$ 446... Se o kit for R$ 369'. Versao B - referencia visual: 'Kit TDAH Planner Reprint, R$ 349,00 ou 6x de R$ 58,17', incluindo 'Sprint Planner, Neuroagenda, Rolo de Etiquetas, Reguas de Acrilico, Reprint + QR' - sem Timer e sem saquinhos.</t>
        </is>
      </c>
      <c r="J480" s="17" t="inlineStr">
        <is>
          <t>strong</t>
        </is>
      </c>
      <c r="K480" s="17" t="inlineStr">
        <is>
          <t>0.9</t>
        </is>
      </c>
      <c r="L480" s="17" t="inlineStr">
        <is>
          <t>conflict</t>
        </is>
      </c>
    </row>
    <row r="481">
      <c r="A481" s="17" t="inlineStr">
        <is>
          <t>EV-8190b17522</t>
        </is>
      </c>
      <c r="B481" s="17" t="inlineStr">
        <is>
          <t>strategic_analysis</t>
        </is>
      </c>
      <c r="C481" s="17" t="inlineStr">
        <is>
          <t>r2</t>
        </is>
      </c>
      <c r="D481" s="18" t="inlineStr">
        <is>
          <t>Existem duas versoes incompativeis do bundle fisico: uma composicao com Timer e organizacao a R$ 369 e outra so de papelaria a R$ 349.</t>
        </is>
      </c>
      <c r="E481" s="17" t="inlineStr">
        <is>
          <t>SA-06B</t>
        </is>
      </c>
      <c r="F481" s="17" t="inlineStr">
        <is>
          <t>pricing_conflict</t>
        </is>
      </c>
      <c r="G481" s="17" t="inlineStr">
        <is>
          <t>ECO-04</t>
        </is>
      </c>
      <c r="H481" s="17" t="inlineStr">
        <is>
          <t>DOC-C05-001</t>
        </is>
      </c>
      <c r="I481" s="18" t="inlineStr">
        <is>
          <t>Versao A - DOC-C09-008 e DOC-C05-001: 'Executar Office Kit: Neurobook + Timer 45 + Organizacao + componentes de mesa/reprints selecionados'; exemplo 'Neurobook R$ 149 + Timer R$ 119 + Organizacao R$ 79 + acessorios R$ 99 = R$ 446... Se o kit for R$ 369'. Versao B - referencia visual: 'Kit TDAH Planner Reprint, R$ 349,00 ou 6x de R$ 58,17', incluindo 'Sprint Planner, Neuroagenda, Rolo de Etiquetas, Reguas de Acrilico, Reprint + QR' - sem Timer e sem saquinhos.</t>
        </is>
      </c>
      <c r="J481" s="17" t="inlineStr">
        <is>
          <t>strong</t>
        </is>
      </c>
      <c r="K481" s="17" t="inlineStr">
        <is>
          <t>0.9</t>
        </is>
      </c>
      <c r="L481" s="17" t="inlineStr">
        <is>
          <t>conflict</t>
        </is>
      </c>
    </row>
    <row r="482">
      <c r="A482" s="17" t="inlineStr">
        <is>
          <t>EV-e38a8e3c9a</t>
        </is>
      </c>
      <c r="B482" s="17" t="inlineStr">
        <is>
          <t>strategic_analysis</t>
        </is>
      </c>
      <c r="C482" s="17" t="inlineStr">
        <is>
          <t>r2</t>
        </is>
      </c>
      <c r="D482" s="18" t="inlineStr">
        <is>
          <t>Existem duas versoes incompativeis do bundle fisico: uma composicao com Timer e organizacao a R$ 369 e outra so de papelaria a R$ 349.</t>
        </is>
      </c>
      <c r="E482" s="17" t="inlineStr">
        <is>
          <t>SA-06B</t>
        </is>
      </c>
      <c r="F482" s="17" t="inlineStr">
        <is>
          <t>pricing_conflict</t>
        </is>
      </c>
      <c r="G482" s="17" t="inlineStr">
        <is>
          <t>ECO-04</t>
        </is>
      </c>
      <c r="H482" s="17" t="inlineStr">
        <is>
          <t>DOC-C13-008</t>
        </is>
      </c>
      <c r="I482" s="18" t="inlineStr">
        <is>
          <t>Versao A - DOC-C09-008 e DOC-C05-001: 'Executar Office Kit: Neurobook + Timer 45 + Organizacao + componentes de mesa/reprints selecionados'; exemplo 'Neurobook R$ 149 + Timer R$ 119 + Organizacao R$ 79 + acessorios R$ 99 = R$ 446... Se o kit for R$ 369'. Versao B - referencia visual: 'Kit TDAH Planner Reprint, R$ 349,00 ou 6x de R$ 58,17', incluindo 'Sprint Planner, Neuroagenda, Rolo de Etiquetas, Reguas de Acrilico, Reprint + QR' - sem Timer e sem saquinhos.</t>
        </is>
      </c>
      <c r="J482" s="17" t="inlineStr">
        <is>
          <t>strong</t>
        </is>
      </c>
      <c r="K482" s="17" t="inlineStr">
        <is>
          <t>0.9</t>
        </is>
      </c>
      <c r="L482" s="17" t="inlineStr">
        <is>
          <t>conflict</t>
        </is>
      </c>
    </row>
    <row r="483">
      <c r="A483" s="17" t="inlineStr">
        <is>
          <t>EV-83b709bd0b</t>
        </is>
      </c>
      <c r="B483" s="17" t="inlineStr">
        <is>
          <t>strategic_analysis</t>
        </is>
      </c>
      <c r="C483" s="17" t="inlineStr">
        <is>
          <t>r2</t>
        </is>
      </c>
      <c r="D483" s="18" t="inlineStr">
        <is>
          <t>A peca visual mostra operacao de compra completa enquanto a regra da unidade determina lancar sem operacao de compra.</t>
        </is>
      </c>
      <c r="E483" s="17" t="inlineStr">
        <is>
          <t>SA-13</t>
        </is>
      </c>
      <c r="F483" s="17" t="inlineStr">
        <is>
          <t>readiness_conflict</t>
        </is>
      </c>
      <c r="G483" s="17" t="inlineStr">
        <is>
          <t>ECO-04</t>
        </is>
      </c>
      <c r="H483" s="17" t="inlineStr">
        <is>
          <t>DOC-C09-008</t>
        </is>
      </c>
      <c r="I483" s="18" t="inlineStr">
        <is>
          <t>DOC-C09-008: 'No lancamento, priorizar pagina, lista de interesse e proposta de conjunto quando a operacao de compra ainda nao estiver pronta'. Referencia visual: botao 'ADICIONAR AO CARRINHO', carrinho com 1 item, 'ou 6x de R$ 58,17', 'Compra 100% segura', 'Frete gratis acima de R$ 199'.</t>
        </is>
      </c>
      <c r="J483" s="17" t="inlineStr">
        <is>
          <t>strong</t>
        </is>
      </c>
      <c r="K483" s="17" t="inlineStr">
        <is>
          <t>0.9</t>
        </is>
      </c>
      <c r="L483" s="17" t="inlineStr">
        <is>
          <t>conflict</t>
        </is>
      </c>
    </row>
    <row r="484">
      <c r="A484" s="17" t="inlineStr">
        <is>
          <t>EV-24313ad312</t>
        </is>
      </c>
      <c r="B484" s="17" t="inlineStr">
        <is>
          <t>strategic_analysis</t>
        </is>
      </c>
      <c r="C484" s="17" t="inlineStr">
        <is>
          <t>r2</t>
        </is>
      </c>
      <c r="D484" s="18" t="inlineStr">
        <is>
          <t>A peca visual mostra operacao de compra completa enquanto a regra da unidade determina lancar sem operacao de compra.</t>
        </is>
      </c>
      <c r="E484" s="17" t="inlineStr">
        <is>
          <t>SA-13</t>
        </is>
      </c>
      <c r="F484" s="17" t="inlineStr">
        <is>
          <t>readiness_conflict</t>
        </is>
      </c>
      <c r="G484" s="17" t="inlineStr">
        <is>
          <t>ECO-04</t>
        </is>
      </c>
      <c r="H484" s="17" t="inlineStr">
        <is>
          <t>DOC-C13-008</t>
        </is>
      </c>
      <c r="I484" s="18" t="inlineStr">
        <is>
          <t>DOC-C09-008: 'No lancamento, priorizar pagina, lista de interesse e proposta de conjunto quando a operacao de compra ainda nao estiver pronta'. Referencia visual: botao 'ADICIONAR AO CARRINHO', carrinho com 1 item, 'ou 6x de R$ 58,17', 'Compra 100% segura', 'Frete gratis acima de R$ 199'.</t>
        </is>
      </c>
      <c r="J484" s="17" t="inlineStr">
        <is>
          <t>strong</t>
        </is>
      </c>
      <c r="K484" s="17" t="inlineStr">
        <is>
          <t>0.9</t>
        </is>
      </c>
      <c r="L484" s="17" t="inlineStr">
        <is>
          <t>conflict</t>
        </is>
      </c>
    </row>
    <row r="485">
      <c r="A485" s="17" t="inlineStr">
        <is>
          <t>EV-dc2a1ecca5</t>
        </is>
      </c>
      <c r="B485" s="17" t="inlineStr">
        <is>
          <t>strategic_analysis</t>
        </is>
      </c>
      <c r="C485" s="17" t="inlineStr">
        <is>
          <t>r2</t>
        </is>
      </c>
      <c r="D485" s="18" t="inlineStr">
        <is>
          <t>As roupas estao explicitamente fora da primeira fase no documento e aparecem como heroi da peca visual do kit de organizacao.</t>
        </is>
      </c>
      <c r="E485" s="17" t="inlineStr">
        <is>
          <t>SA-11A</t>
        </is>
      </c>
      <c r="F485" s="17" t="inlineStr">
        <is>
          <t>scope_conflict</t>
        </is>
      </c>
      <c r="G485" s="17" t="inlineStr">
        <is>
          <t>ECO-04</t>
        </is>
      </c>
      <c r="H485" s="17" t="inlineStr">
        <is>
          <t>DOC-C05-001</t>
        </is>
      </c>
      <c r="I485" s="18" t="inlineStr">
        <is>
          <t>DOC-C05-001: 'P4 Roupas - Fora do escopo atual - As roupas mostradas no conceito visual nao entram nesta primeira fase - Nao lancar agora'. Referencia visual de organizacao fisica: mockup 'Kit Semanal Masculino' com polos, bermudas e meias ocupando metade da area principal e CTA 'COMPRAR KIT SEMANAL'.</t>
        </is>
      </c>
      <c r="J485" s="17" t="inlineStr">
        <is>
          <t>strong</t>
        </is>
      </c>
      <c r="K485" s="17" t="inlineStr">
        <is>
          <t>0.9</t>
        </is>
      </c>
      <c r="L485" s="17" t="inlineStr">
        <is>
          <t>conflict</t>
        </is>
      </c>
    </row>
    <row r="486">
      <c r="A486" s="17" t="inlineStr">
        <is>
          <t>EV-a148508a6a</t>
        </is>
      </c>
      <c r="B486" s="17" t="inlineStr">
        <is>
          <t>strategic_analysis</t>
        </is>
      </c>
      <c r="C486" s="17" t="inlineStr">
        <is>
          <t>r2</t>
        </is>
      </c>
      <c r="D486" s="18" t="inlineStr">
        <is>
          <t>As roupas estao explicitamente fora da primeira fase no documento e aparecem como heroi da peca visual do kit de organizacao.</t>
        </is>
      </c>
      <c r="E486" s="17" t="inlineStr">
        <is>
          <t>SA-11A</t>
        </is>
      </c>
      <c r="F486" s="17" t="inlineStr">
        <is>
          <t>scope_conflict</t>
        </is>
      </c>
      <c r="G486" s="17" t="inlineStr">
        <is>
          <t>ECO-04</t>
        </is>
      </c>
      <c r="H486" s="17" t="inlineStr">
        <is>
          <t>DOC-C13-009</t>
        </is>
      </c>
      <c r="I486" s="18" t="inlineStr">
        <is>
          <t>DOC-C05-001: 'P4 Roupas - Fora do escopo atual - As roupas mostradas no conceito visual nao entram nesta primeira fase - Nao lancar agora'. Referencia visual de organizacao fisica: mockup 'Kit Semanal Masculino' com polos, bermudas e meias ocupando metade da area principal e CTA 'COMPRAR KIT SEMANAL'.</t>
        </is>
      </c>
      <c r="J486" s="17" t="inlineStr">
        <is>
          <t>strong</t>
        </is>
      </c>
      <c r="K486" s="17" t="inlineStr">
        <is>
          <t>0.9</t>
        </is>
      </c>
      <c r="L486" s="17" t="inlineStr">
        <is>
          <t>conflict</t>
        </is>
      </c>
    </row>
    <row r="487">
      <c r="A487" s="17" t="inlineStr">
        <is>
          <t>EV-b84aed7f2b</t>
        </is>
      </c>
      <c r="B487" s="17" t="inlineStr">
        <is>
          <t>strategic_analysis</t>
        </is>
      </c>
      <c r="C487" s="17" t="inlineStr">
        <is>
          <t>r2</t>
        </is>
      </c>
      <c r="D487" s="18" t="inlineStr">
        <is>
          <t>As pecas visuais mostram tres storefronts com navegacoes distintas, enquanto o plano prevê uma unica pagina Loja.</t>
        </is>
      </c>
      <c r="E487" s="17" t="inlineStr">
        <is>
          <t>SA-13</t>
        </is>
      </c>
      <c r="F487" s="17" t="inlineStr">
        <is>
          <t>architecture_conflict</t>
        </is>
      </c>
      <c r="G487" s="17" t="inlineStr">
        <is>
          <t>ECO-04</t>
        </is>
      </c>
      <c r="H487" s="17" t="inlineStr">
        <is>
          <t>DOC-C12-008</t>
        </is>
      </c>
      <c r="I487" s="18" t="inlineStr">
        <is>
          <t>DOC-C12-008 define uma pagina 'Loja' com objetivo 'produtos fisicos + infoprodutos'. As pecas mostram: 'executar.com/kit-tdah-planner-reprint' com nav 'Inicio, Produtos, Sistema, Comunidade, Sobre'; 'executar.com/kit-semanal-masculino' com nav 'KITS, SACOS, ORGANIZADORES, ACESSORIOS'; e a biblioteca com nav 'Inicio, Sobre, Biblioteca, Planos, Comunidade, Recursos'.</t>
        </is>
      </c>
      <c r="J487" s="17" t="inlineStr">
        <is>
          <t>strong</t>
        </is>
      </c>
      <c r="K487" s="17" t="inlineStr">
        <is>
          <t>0.85</t>
        </is>
      </c>
      <c r="L487" s="17" t="inlineStr">
        <is>
          <t>conflict</t>
        </is>
      </c>
    </row>
    <row r="488">
      <c r="A488" s="17" t="inlineStr">
        <is>
          <t>EV-da3ee1560f</t>
        </is>
      </c>
      <c r="B488" s="17" t="inlineStr">
        <is>
          <t>strategic_analysis</t>
        </is>
      </c>
      <c r="C488" s="17" t="inlineStr">
        <is>
          <t>r2</t>
        </is>
      </c>
      <c r="D488" s="18" t="inlineStr">
        <is>
          <t>As pecas visuais mostram tres storefronts com navegacoes distintas, enquanto o plano prevê uma unica pagina Loja.</t>
        </is>
      </c>
      <c r="E488" s="17" t="inlineStr">
        <is>
          <t>SA-13</t>
        </is>
      </c>
      <c r="F488" s="17" t="inlineStr">
        <is>
          <t>architecture_conflict</t>
        </is>
      </c>
      <c r="G488" s="17" t="inlineStr">
        <is>
          <t>ECO-04</t>
        </is>
      </c>
      <c r="H488" s="17" t="inlineStr">
        <is>
          <t>DOC-C13-008</t>
        </is>
      </c>
      <c r="I488" s="18" t="inlineStr">
        <is>
          <t>DOC-C12-008 define uma pagina 'Loja' com objetivo 'produtos fisicos + infoprodutos'. As pecas mostram: 'executar.com/kit-tdah-planner-reprint' com nav 'Inicio, Produtos, Sistema, Comunidade, Sobre'; 'executar.com/kit-semanal-masculino' com nav 'KITS, SACOS, ORGANIZADORES, ACESSORIOS'; e a biblioteca com nav 'Inicio, Sobre, Biblioteca, Planos, Comunidade, Recursos'.</t>
        </is>
      </c>
      <c r="J488" s="17" t="inlineStr">
        <is>
          <t>strong</t>
        </is>
      </c>
      <c r="K488" s="17" t="inlineStr">
        <is>
          <t>0.85</t>
        </is>
      </c>
      <c r="L488" s="17" t="inlineStr">
        <is>
          <t>conflict</t>
        </is>
      </c>
    </row>
    <row r="489">
      <c r="A489" s="17" t="inlineStr">
        <is>
          <t>EV-beaedc7e14</t>
        </is>
      </c>
      <c r="B489" s="17" t="inlineStr">
        <is>
          <t>strategic_analysis</t>
        </is>
      </c>
      <c r="C489" s="17" t="inlineStr">
        <is>
          <t>r2</t>
        </is>
      </c>
      <c r="D489" s="18" t="inlineStr">
        <is>
          <t>As pecas visuais mostram tres storefronts com navegacoes distintas, enquanto o plano prevê uma unica pagina Loja.</t>
        </is>
      </c>
      <c r="E489" s="17" t="inlineStr">
        <is>
          <t>SA-13</t>
        </is>
      </c>
      <c r="F489" s="17" t="inlineStr">
        <is>
          <t>architecture_conflict</t>
        </is>
      </c>
      <c r="G489" s="17" t="inlineStr">
        <is>
          <t>ECO-04</t>
        </is>
      </c>
      <c r="H489" s="17" t="inlineStr">
        <is>
          <t>DOC-C13-009</t>
        </is>
      </c>
      <c r="I489" s="18" t="inlineStr">
        <is>
          <t>DOC-C12-008 define uma pagina 'Loja' com objetivo 'produtos fisicos + infoprodutos'. As pecas mostram: 'executar.com/kit-tdah-planner-reprint' com nav 'Inicio, Produtos, Sistema, Comunidade, Sobre'; 'executar.com/kit-semanal-masculino' com nav 'KITS, SACOS, ORGANIZADORES, ACESSORIOS'; e a biblioteca com nav 'Inicio, Sobre, Biblioteca, Planos, Comunidade, Recursos'.</t>
        </is>
      </c>
      <c r="J489" s="17" t="inlineStr">
        <is>
          <t>strong</t>
        </is>
      </c>
      <c r="K489" s="17" t="inlineStr">
        <is>
          <t>0.85</t>
        </is>
      </c>
      <c r="L489" s="17" t="inlineStr">
        <is>
          <t>conflict</t>
        </is>
      </c>
    </row>
    <row r="490">
      <c r="A490" s="17" t="inlineStr">
        <is>
          <t>EV-427fc67b07</t>
        </is>
      </c>
      <c r="B490" s="17" t="inlineStr">
        <is>
          <t>strategic_analysis</t>
        </is>
      </c>
      <c r="C490" s="17" t="inlineStr">
        <is>
          <t>r2</t>
        </is>
      </c>
      <c r="D490" s="18" t="inlineStr">
        <is>
          <t>As pecas visuais mostram tres storefronts com navegacoes distintas, enquanto o plano prevê uma unica pagina Loja.</t>
        </is>
      </c>
      <c r="E490" s="17" t="inlineStr">
        <is>
          <t>SA-13</t>
        </is>
      </c>
      <c r="F490" s="17" t="inlineStr">
        <is>
          <t>architecture_conflict</t>
        </is>
      </c>
      <c r="G490" s="17" t="inlineStr">
        <is>
          <t>ECO-04</t>
        </is>
      </c>
      <c r="H490" s="17" t="inlineStr">
        <is>
          <t>DOC-C13-005</t>
        </is>
      </c>
      <c r="I490" s="18" t="inlineStr">
        <is>
          <t>DOC-C12-008 define uma pagina 'Loja' com objetivo 'produtos fisicos + infoprodutos'. As pecas mostram: 'executar.com/kit-tdah-planner-reprint' com nav 'Inicio, Produtos, Sistema, Comunidade, Sobre'; 'executar.com/kit-semanal-masculino' com nav 'KITS, SACOS, ORGANIZADORES, ACESSORIOS'; e a biblioteca com nav 'Inicio, Sobre, Biblioteca, Planos, Comunidade, Recursos'.</t>
        </is>
      </c>
      <c r="J490" s="17" t="inlineStr">
        <is>
          <t>strong</t>
        </is>
      </c>
      <c r="K490" s="17" t="inlineStr">
        <is>
          <t>0.85</t>
        </is>
      </c>
      <c r="L490" s="17" t="inlineStr">
        <is>
          <t>conflict</t>
        </is>
      </c>
    </row>
    <row r="491">
      <c r="A491" s="17" t="inlineStr">
        <is>
          <t>EV-39591f5760</t>
        </is>
      </c>
      <c r="B491" s="17" t="inlineStr">
        <is>
          <t>strategic_analysis</t>
        </is>
      </c>
      <c r="C491" s="17" t="inlineStr">
        <is>
          <t>r2</t>
        </is>
      </c>
      <c r="D491" s="18" t="inlineStr">
        <is>
          <t>A peca da biblioteca sugere modelo de assinatura, enquanto a arquitetura comercial documentada e de compra unitaria em escada.</t>
        </is>
      </c>
      <c r="E491" s="17" t="inlineStr">
        <is>
          <t>SA-06A</t>
        </is>
      </c>
      <c r="F491" s="17" t="inlineStr">
        <is>
          <t>model_conflict</t>
        </is>
      </c>
      <c r="G491" s="17" t="inlineStr">
        <is>
          <t>ECO-05</t>
        </is>
      </c>
      <c r="H491" s="17" t="inlineStr">
        <is>
          <t>DOC-C13-005</t>
        </is>
      </c>
      <c r="I491" s="18" t="inlineStr">
        <is>
          <t>Referencia visual da biblioteca: item de menu 'Planos', botao 'Entrar', CTA 'FACA PARTE DA BIBLIOTECA EXECUTAR' e selos 'Atualizacoes constantes' e 'Acesso em qualquer lugar e dispositivo'. DOC-C05-001 define degraus com precos unitarios (R$ 39,90, R$ 99-129, R$ 97, R$ 197) e nao menciona assinatura em nenhum ponto da arquitetura comercial.</t>
        </is>
      </c>
      <c r="J491" s="17" t="inlineStr">
        <is>
          <t>moderate</t>
        </is>
      </c>
      <c r="K491" s="17" t="inlineStr">
        <is>
          <t>0.8</t>
        </is>
      </c>
      <c r="L491" s="17" t="inlineStr">
        <is>
          <t>conflict</t>
        </is>
      </c>
    </row>
    <row r="492">
      <c r="A492" s="17" t="inlineStr">
        <is>
          <t>EV-2e38c1a079</t>
        </is>
      </c>
      <c r="B492" s="17" t="inlineStr">
        <is>
          <t>strategic_analysis</t>
        </is>
      </c>
      <c r="C492" s="17" t="inlineStr">
        <is>
          <t>r2</t>
        </is>
      </c>
      <c r="D492" s="18" t="inlineStr">
        <is>
          <t>A peca da biblioteca sugere modelo de assinatura, enquanto a arquitetura comercial documentada e de compra unitaria em escada.</t>
        </is>
      </c>
      <c r="E492" s="17" t="inlineStr">
        <is>
          <t>SA-06A</t>
        </is>
      </c>
      <c r="F492" s="17" t="inlineStr">
        <is>
          <t>model_conflict</t>
        </is>
      </c>
      <c r="G492" s="17" t="inlineStr">
        <is>
          <t>ECO-05</t>
        </is>
      </c>
      <c r="H492" s="17" t="inlineStr">
        <is>
          <t>DOC-C05-001</t>
        </is>
      </c>
      <c r="I492" s="18" t="inlineStr">
        <is>
          <t>Referencia visual da biblioteca: item de menu 'Planos', botao 'Entrar', CTA 'FACA PARTE DA BIBLIOTECA EXECUTAR' e selos 'Atualizacoes constantes' e 'Acesso em qualquer lugar e dispositivo'. DOC-C05-001 define degraus com precos unitarios (R$ 39,90, R$ 99-129, R$ 97, R$ 197) e nao menciona assinatura em nenhum ponto da arquitetura comercial.</t>
        </is>
      </c>
      <c r="J492" s="17" t="inlineStr">
        <is>
          <t>moderate</t>
        </is>
      </c>
      <c r="K492" s="17" t="inlineStr">
        <is>
          <t>0.8</t>
        </is>
      </c>
      <c r="L492" s="17" t="inlineStr">
        <is>
          <t>conflict</t>
        </is>
      </c>
    </row>
    <row r="493">
      <c r="A493" s="17" t="inlineStr">
        <is>
          <t>EV-77acc03b18</t>
        </is>
      </c>
      <c r="B493" s="17" t="inlineStr">
        <is>
          <t>strategic_analysis</t>
        </is>
      </c>
      <c r="C493" s="17" t="inlineStr">
        <is>
          <t>r2</t>
        </is>
      </c>
      <c r="D493" s="18" t="inlineStr">
        <is>
          <t>Ha duas estrategias de canal incompativeis no acervo: quatro canais de distribuicao ativos e um unico canal com playlists.</t>
        </is>
      </c>
      <c r="E493" s="17" t="inlineStr">
        <is>
          <t>SA-13</t>
        </is>
      </c>
      <c r="F493" s="17" t="inlineStr">
        <is>
          <t>channel_conflict</t>
        </is>
      </c>
      <c r="G493" s="17" t="inlineStr">
        <is>
          <t>ECO-08</t>
        </is>
      </c>
      <c r="H493" s="17" t="inlineStr">
        <is>
          <t>DOC-C05-001</t>
        </is>
      </c>
      <c r="I493" s="18" t="inlineStr">
        <is>
          <t>Versao A - DOC-C05-001 e as notas PUB: 'DISTRIBUICAO 01 YouTube | 02 Instagram | 03 TikTok | 04 LinkedIn', com PUB-002, PUB-003 e PUB-004 criadas. Versao B - Dashboard QL-0038, subtema 'Simplificacao de canais': 'A estrategia de cinco canais e substituida por um canal principal com playlists'; acao: 'Reduzir dispersao operacional e medir consistencia por ciclo'.</t>
        </is>
      </c>
      <c r="J493" s="17" t="inlineStr">
        <is>
          <t>strong</t>
        </is>
      </c>
      <c r="K493" s="17" t="inlineStr">
        <is>
          <t>0.9</t>
        </is>
      </c>
      <c r="L493" s="17" t="inlineStr">
        <is>
          <t>conflict</t>
        </is>
      </c>
    </row>
    <row r="494">
      <c r="A494" s="17" t="inlineStr">
        <is>
          <t>EV-b483ee0b09</t>
        </is>
      </c>
      <c r="B494" s="17" t="inlineStr">
        <is>
          <t>strategic_analysis</t>
        </is>
      </c>
      <c r="C494" s="17" t="inlineStr">
        <is>
          <t>r2</t>
        </is>
      </c>
      <c r="D494" s="18" t="inlineStr">
        <is>
          <t>Ha duas estrategias de canal incompativeis no acervo: quatro canais de distribuicao ativos e um unico canal com playlists.</t>
        </is>
      </c>
      <c r="E494" s="17" t="inlineStr">
        <is>
          <t>SA-13</t>
        </is>
      </c>
      <c r="F494" s="17" t="inlineStr">
        <is>
          <t>channel_conflict</t>
        </is>
      </c>
      <c r="G494" s="17" t="inlineStr">
        <is>
          <t>ECO-08</t>
        </is>
      </c>
      <c r="H494" s="17" t="inlineStr">
        <is>
          <t>DOC-C14-004</t>
        </is>
      </c>
      <c r="I494" s="18" t="inlineStr">
        <is>
          <t>Versao A - DOC-C05-001 e as notas PUB: 'DISTRIBUICAO 01 YouTube | 02 Instagram | 03 TikTok | 04 LinkedIn', com PUB-002, PUB-003 e PUB-004 criadas. Versao B - Dashboard QL-0038, subtema 'Simplificacao de canais': 'A estrategia de cinco canais e substituida por um canal principal com playlists'; acao: 'Reduzir dispersao operacional e medir consistencia por ciclo'.</t>
        </is>
      </c>
      <c r="J494" s="17" t="inlineStr">
        <is>
          <t>strong</t>
        </is>
      </c>
      <c r="K494" s="17" t="inlineStr">
        <is>
          <t>0.9</t>
        </is>
      </c>
      <c r="L494" s="17" t="inlineStr">
        <is>
          <t>conflict</t>
        </is>
      </c>
    </row>
    <row r="495">
      <c r="A495" s="17" t="inlineStr">
        <is>
          <t>EV-c51337adf0</t>
        </is>
      </c>
      <c r="B495" s="17" t="inlineStr">
        <is>
          <t>strategic_analysis</t>
        </is>
      </c>
      <c r="C495" s="17" t="inlineStr">
        <is>
          <t>r2</t>
        </is>
      </c>
      <c r="D495" s="18" t="inlineStr">
        <is>
          <t>Ha duas estrategias de canal incompativeis no acervo: quatro canais de distribuicao ativos e um unico canal com playlists.</t>
        </is>
      </c>
      <c r="E495" s="17" t="inlineStr">
        <is>
          <t>SA-13</t>
        </is>
      </c>
      <c r="F495" s="17" t="inlineStr">
        <is>
          <t>channel_conflict</t>
        </is>
      </c>
      <c r="G495" s="17" t="inlineStr">
        <is>
          <t>ECO-08</t>
        </is>
      </c>
      <c r="H495" s="17" t="inlineStr">
        <is>
          <t>DOC-C14-005</t>
        </is>
      </c>
      <c r="I495" s="18" t="inlineStr">
        <is>
          <t>Versao A - DOC-C05-001 e as notas PUB: 'DISTRIBUICAO 01 YouTube | 02 Instagram | 03 TikTok | 04 LinkedIn', com PUB-002, PUB-003 e PUB-004 criadas. Versao B - Dashboard QL-0038, subtema 'Simplificacao de canais': 'A estrategia de cinco canais e substituida por um canal principal com playlists'; acao: 'Reduzir dispersao operacional e medir consistencia por ciclo'.</t>
        </is>
      </c>
      <c r="J495" s="17" t="inlineStr">
        <is>
          <t>strong</t>
        </is>
      </c>
      <c r="K495" s="17" t="inlineStr">
        <is>
          <t>0.9</t>
        </is>
      </c>
      <c r="L495" s="17" t="inlineStr">
        <is>
          <t>conflict</t>
        </is>
      </c>
    </row>
    <row r="496">
      <c r="A496" s="17" t="inlineStr">
        <is>
          <t>EV-40765b466f</t>
        </is>
      </c>
      <c r="B496" s="17" t="inlineStr">
        <is>
          <t>strategic_analysis</t>
        </is>
      </c>
      <c r="C496" s="17" t="inlineStr">
        <is>
          <t>r2</t>
        </is>
      </c>
      <c r="D496" s="18" t="inlineStr">
        <is>
          <t>Ha duas estrategias de canal incompativeis no acervo: quatro canais de distribuicao ativos e um unico canal com playlists.</t>
        </is>
      </c>
      <c r="E496" s="17" t="inlineStr">
        <is>
          <t>SA-13</t>
        </is>
      </c>
      <c r="F496" s="17" t="inlineStr">
        <is>
          <t>channel_conflict</t>
        </is>
      </c>
      <c r="G496" s="17" t="inlineStr">
        <is>
          <t>ECO-08</t>
        </is>
      </c>
      <c r="H496" s="17" t="inlineStr">
        <is>
          <t>DOC-C14-006</t>
        </is>
      </c>
      <c r="I496" s="18" t="inlineStr">
        <is>
          <t>Versao A - DOC-C05-001 e as notas PUB: 'DISTRIBUICAO 01 YouTube | 02 Instagram | 03 TikTok | 04 LinkedIn', com PUB-002, PUB-003 e PUB-004 criadas. Versao B - Dashboard QL-0038, subtema 'Simplificacao de canais': 'A estrategia de cinco canais e substituida por um canal principal com playlists'; acao: 'Reduzir dispersao operacional e medir consistencia por ciclo'.</t>
        </is>
      </c>
      <c r="J496" s="17" t="inlineStr">
        <is>
          <t>strong</t>
        </is>
      </c>
      <c r="K496" s="17" t="inlineStr">
        <is>
          <t>0.9</t>
        </is>
      </c>
      <c r="L496" s="17" t="inlineStr">
        <is>
          <t>conflict</t>
        </is>
      </c>
    </row>
    <row r="497">
      <c r="A497" s="17" t="inlineStr">
        <is>
          <t>EV-c997fc1209</t>
        </is>
      </c>
      <c r="B497" s="17" t="inlineStr">
        <is>
          <t>strategic_analysis</t>
        </is>
      </c>
      <c r="C497" s="17" t="inlineStr">
        <is>
          <t>r2</t>
        </is>
      </c>
      <c r="D497" s="18" t="inlineStr">
        <is>
          <t>Ha duas estrategias de canal incompativeis no acervo: quatro canais de distribuicao ativos e um unico canal com playlists.</t>
        </is>
      </c>
      <c r="E497" s="17" t="inlineStr">
        <is>
          <t>SA-13</t>
        </is>
      </c>
      <c r="F497" s="17" t="inlineStr">
        <is>
          <t>channel_conflict</t>
        </is>
      </c>
      <c r="G497" s="17" t="inlineStr">
        <is>
          <t>ECO-08</t>
        </is>
      </c>
      <c r="H497" s="17" t="inlineStr">
        <is>
          <t>DOC-C07-009</t>
        </is>
      </c>
      <c r="I497" s="18" t="inlineStr">
        <is>
          <t>Versao A - DOC-C05-001 e as notas PUB: 'DISTRIBUICAO 01 YouTube | 02 Instagram | 03 TikTok | 04 LinkedIn', com PUB-002, PUB-003 e PUB-004 criadas. Versao B - Dashboard QL-0038, subtema 'Simplificacao de canais': 'A estrategia de cinco canais e substituida por um canal principal com playlists'; acao: 'Reduzir dispersao operacional e medir consistencia por ciclo'.</t>
        </is>
      </c>
      <c r="J497" s="17" t="inlineStr">
        <is>
          <t>strong</t>
        </is>
      </c>
      <c r="K497" s="17" t="inlineStr">
        <is>
          <t>0.9</t>
        </is>
      </c>
      <c r="L497" s="17" t="inlineStr">
        <is>
          <t>conflict</t>
        </is>
      </c>
    </row>
    <row r="498">
      <c r="A498" s="17" t="inlineStr">
        <is>
          <t>EV-27848d5e7d</t>
        </is>
      </c>
      <c r="B498" s="17" t="inlineStr">
        <is>
          <t>strategic_analysis</t>
        </is>
      </c>
      <c r="C498" s="17" t="inlineStr">
        <is>
          <t>r2</t>
        </is>
      </c>
      <c r="D498" s="18" t="inlineStr">
        <is>
          <t>Blog e newsletter aparecem como canal inicial prioritario em uma fonte e como apenas dois entre oito plataformas em outra.</t>
        </is>
      </c>
      <c r="E498" s="17" t="inlineStr">
        <is>
          <t>SA-11A</t>
        </is>
      </c>
      <c r="F498" s="17" t="inlineStr">
        <is>
          <t>channel_conflict</t>
        </is>
      </c>
      <c r="G498" s="17" t="inlineStr">
        <is>
          <t>ECO-08</t>
        </is>
      </c>
      <c r="H498" s="17" t="inlineStr">
        <is>
          <t>DOC-C07-009</t>
        </is>
      </c>
      <c r="I498" s="18" t="inlineStr">
        <is>
          <t>Dashboard QL-000057: 'A equipe decidiu priorizar um blog visual-first com newsletter como canal inicial, com a hipotese de que blogs gerariam mais leads qualificados do que redes sociais dispersas para este publico'; acao: 'Concentrar recursos iniciais de marketing em conteudo de blog e newsletter antes de expandir para redes sociais'. DOC-C05-001 estrutura oito posicoes (4 owned + 4 distribuicao) sem hierarquia de fase.</t>
        </is>
      </c>
      <c r="J498" s="17" t="inlineStr">
        <is>
          <t>moderate</t>
        </is>
      </c>
      <c r="K498" s="17" t="inlineStr">
        <is>
          <t>0.8</t>
        </is>
      </c>
      <c r="L498" s="17" t="inlineStr">
        <is>
          <t>conflict</t>
        </is>
      </c>
    </row>
    <row r="499">
      <c r="A499" s="17" t="inlineStr">
        <is>
          <t>EV-c272c23e64</t>
        </is>
      </c>
      <c r="B499" s="17" t="inlineStr">
        <is>
          <t>strategic_analysis</t>
        </is>
      </c>
      <c r="C499" s="17" t="inlineStr">
        <is>
          <t>r2</t>
        </is>
      </c>
      <c r="D499" s="18" t="inlineStr">
        <is>
          <t>Blog e newsletter aparecem como canal inicial prioritario em uma fonte e como apenas dois entre oito plataformas em outra.</t>
        </is>
      </c>
      <c r="E499" s="17" t="inlineStr">
        <is>
          <t>SA-11A</t>
        </is>
      </c>
      <c r="F499" s="17" t="inlineStr">
        <is>
          <t>channel_conflict</t>
        </is>
      </c>
      <c r="G499" s="17" t="inlineStr">
        <is>
          <t>ECO-08</t>
        </is>
      </c>
      <c r="H499" s="17" t="inlineStr">
        <is>
          <t>DOC-C05-001</t>
        </is>
      </c>
      <c r="I499" s="18" t="inlineStr">
        <is>
          <t>Dashboard QL-000057: 'A equipe decidiu priorizar um blog visual-first com newsletter como canal inicial, com a hipotese de que blogs gerariam mais leads qualificados do que redes sociais dispersas para este publico'; acao: 'Concentrar recursos iniciais de marketing em conteudo de blog e newsletter antes de expandir para redes sociais'. DOC-C05-001 estrutura oito posicoes (4 owned + 4 distribuicao) sem hierarquia de fase.</t>
        </is>
      </c>
      <c r="J499" s="17" t="inlineStr">
        <is>
          <t>moderate</t>
        </is>
      </c>
      <c r="K499" s="17" t="inlineStr">
        <is>
          <t>0.8</t>
        </is>
      </c>
      <c r="L499" s="17" t="inlineStr">
        <is>
          <t>conflict</t>
        </is>
      </c>
    </row>
    <row r="500">
      <c r="A500" s="17" t="inlineStr">
        <is>
          <t>EV-51447c6d04</t>
        </is>
      </c>
      <c r="B500" s="17" t="inlineStr">
        <is>
          <t>strategic_analysis</t>
        </is>
      </c>
      <c r="C500" s="17" t="inlineStr">
        <is>
          <t>r2</t>
        </is>
      </c>
      <c r="D500" s="18" t="inlineStr">
        <is>
          <t>A comunidade aparece como item de menu ativo e como selo de produto nas pecas visuais, mas o acervo textual a classifica como futura.</t>
        </is>
      </c>
      <c r="E500" s="17" t="inlineStr">
        <is>
          <t>SA-09B</t>
        </is>
      </c>
      <c r="F500" s="17" t="inlineStr">
        <is>
          <t>community_conflict</t>
        </is>
      </c>
      <c r="G500" s="17" t="inlineStr">
        <is>
          <t>ECO-08</t>
        </is>
      </c>
      <c r="H500" s="17" t="inlineStr">
        <is>
          <t>DOC-C05-001</t>
        </is>
      </c>
      <c r="I500" s="18" t="inlineStr">
        <is>
          <t>Ecossistema: 'OWNED 04 Executar / comunidade futura - Continuidade e aplicacao'. Pecas visuais: nav 'Comunidade' na loja do Office Kit e na biblioteca; selo 'COMUNIDADE E APOIO' na capa de 'Aplicando o TDAH Adulto'; selo 'Comunidade e apoio' entre os quatro beneficios do Kit TDAH Planner Reprint.</t>
        </is>
      </c>
      <c r="J500" s="17" t="inlineStr">
        <is>
          <t>strong</t>
        </is>
      </c>
      <c r="K500" s="17" t="inlineStr">
        <is>
          <t>0.85</t>
        </is>
      </c>
      <c r="L500" s="17" t="inlineStr">
        <is>
          <t>conflict</t>
        </is>
      </c>
    </row>
    <row r="501">
      <c r="A501" s="17" t="inlineStr">
        <is>
          <t>EV-105ab818b0</t>
        </is>
      </c>
      <c r="B501" s="17" t="inlineStr">
        <is>
          <t>strategic_analysis</t>
        </is>
      </c>
      <c r="C501" s="17" t="inlineStr">
        <is>
          <t>r2</t>
        </is>
      </c>
      <c r="D501" s="18" t="inlineStr">
        <is>
          <t>A comunidade aparece como item de menu ativo e como selo de produto nas pecas visuais, mas o acervo textual a classifica como futura.</t>
        </is>
      </c>
      <c r="E501" s="17" t="inlineStr">
        <is>
          <t>SA-09B</t>
        </is>
      </c>
      <c r="F501" s="17" t="inlineStr">
        <is>
          <t>community_conflict</t>
        </is>
      </c>
      <c r="G501" s="17" t="inlineStr">
        <is>
          <t>ECO-08</t>
        </is>
      </c>
      <c r="H501" s="17" t="inlineStr">
        <is>
          <t>DOC-C13-008</t>
        </is>
      </c>
      <c r="I501" s="18" t="inlineStr">
        <is>
          <t>Ecossistema: 'OWNED 04 Executar / comunidade futura - Continuidade e aplicacao'. Pecas visuais: nav 'Comunidade' na loja do Office Kit e na biblioteca; selo 'COMUNIDADE E APOIO' na capa de 'Aplicando o TDAH Adulto'; selo 'Comunidade e apoio' entre os quatro beneficios do Kit TDAH Planner Reprint.</t>
        </is>
      </c>
      <c r="J501" s="17" t="inlineStr">
        <is>
          <t>strong</t>
        </is>
      </c>
      <c r="K501" s="17" t="inlineStr">
        <is>
          <t>0.85</t>
        </is>
      </c>
      <c r="L501" s="17" t="inlineStr">
        <is>
          <t>conflict</t>
        </is>
      </c>
    </row>
    <row r="502">
      <c r="A502" s="17" t="inlineStr">
        <is>
          <t>EV-99a5391d0d</t>
        </is>
      </c>
      <c r="B502" s="17" t="inlineStr">
        <is>
          <t>strategic_analysis</t>
        </is>
      </c>
      <c r="C502" s="17" t="inlineStr">
        <is>
          <t>r2</t>
        </is>
      </c>
      <c r="D502" s="18" t="inlineStr">
        <is>
          <t>A comunidade aparece como item de menu ativo e como selo de produto nas pecas visuais, mas o acervo textual a classifica como futura.</t>
        </is>
      </c>
      <c r="E502" s="17" t="inlineStr">
        <is>
          <t>SA-09B</t>
        </is>
      </c>
      <c r="F502" s="17" t="inlineStr">
        <is>
          <t>community_conflict</t>
        </is>
      </c>
      <c r="G502" s="17" t="inlineStr">
        <is>
          <t>ECO-08</t>
        </is>
      </c>
      <c r="H502" s="17" t="inlineStr">
        <is>
          <t>DOC-C13-005</t>
        </is>
      </c>
      <c r="I502" s="18" t="inlineStr">
        <is>
          <t>Ecossistema: 'OWNED 04 Executar / comunidade futura - Continuidade e aplicacao'. Pecas visuais: nav 'Comunidade' na loja do Office Kit e na biblioteca; selo 'COMUNIDADE E APOIO' na capa de 'Aplicando o TDAH Adulto'; selo 'Comunidade e apoio' entre os quatro beneficios do Kit TDAH Planner Reprint.</t>
        </is>
      </c>
      <c r="J502" s="17" t="inlineStr">
        <is>
          <t>strong</t>
        </is>
      </c>
      <c r="K502" s="17" t="inlineStr">
        <is>
          <t>0.85</t>
        </is>
      </c>
      <c r="L502" s="17" t="inlineStr">
        <is>
          <t>conflict</t>
        </is>
      </c>
    </row>
    <row r="503">
      <c r="A503" s="17" t="inlineStr">
        <is>
          <t>EV-20959f0233</t>
        </is>
      </c>
      <c r="B503" s="17" t="inlineStr">
        <is>
          <t>strategic_analysis</t>
        </is>
      </c>
      <c r="C503" s="17" t="inlineStr">
        <is>
          <t>r2</t>
        </is>
      </c>
      <c r="D503" s="18" t="inlineStr">
        <is>
          <t>A comunidade aparece como item de menu ativo e como selo de produto nas pecas visuais, mas o acervo textual a classifica como futura.</t>
        </is>
      </c>
      <c r="E503" s="17" t="inlineStr">
        <is>
          <t>SA-09B</t>
        </is>
      </c>
      <c r="F503" s="17" t="inlineStr">
        <is>
          <t>community_conflict</t>
        </is>
      </c>
      <c r="G503" s="17" t="inlineStr">
        <is>
          <t>ECO-08</t>
        </is>
      </c>
      <c r="H503" s="17" t="inlineStr">
        <is>
          <t>DOC-C13-006</t>
        </is>
      </c>
      <c r="I503" s="18" t="inlineStr">
        <is>
          <t>Ecossistema: 'OWNED 04 Executar / comunidade futura - Continuidade e aplicacao'. Pecas visuais: nav 'Comunidade' na loja do Office Kit e na biblioteca; selo 'COMUNIDADE E APOIO' na capa de 'Aplicando o TDAH Adulto'; selo 'Comunidade e apoio' entre os quatro beneficios do Kit TDAH Planner Reprint.</t>
        </is>
      </c>
      <c r="J503" s="17" t="inlineStr">
        <is>
          <t>strong</t>
        </is>
      </c>
      <c r="K503" s="17" t="inlineStr">
        <is>
          <t>0.85</t>
        </is>
      </c>
      <c r="L503" s="17" t="inlineStr">
        <is>
          <t>conflict</t>
        </is>
      </c>
    </row>
    <row r="504">
      <c r="A504" s="17" t="inlineStr">
        <is>
          <t>EV-97f0969576</t>
        </is>
      </c>
      <c r="B504" s="17" t="inlineStr">
        <is>
          <t>strategic_analysis</t>
        </is>
      </c>
      <c r="C504" s="17" t="inlineStr">
        <is>
          <t>r2</t>
        </is>
      </c>
      <c r="D504" s="18" t="inlineStr">
        <is>
          <t>As duas fontes de capacidade divergem na alocacao por frente, apesar de fecharem o mesmo total de 60h.</t>
        </is>
      </c>
      <c r="E504" s="17" t="inlineStr">
        <is>
          <t>SA-07B</t>
        </is>
      </c>
      <c r="F504" s="17" t="inlineStr">
        <is>
          <t>capacity_conflict</t>
        </is>
      </c>
      <c r="G504" s="17" t="inlineStr">
        <is>
          <t>ECO-05</t>
        </is>
      </c>
      <c r="H504" s="17" t="inlineStr">
        <is>
          <t>DOC-C08-008</t>
        </is>
      </c>
      <c r="I504" s="18" t="inlineStr">
        <is>
          <t>DOC-C08-008: 'Central, rotas e chamadas 12 | Ofertas e cadastros 6 | Tres pecas editoriais 15 | Demonstracoes 15 | Publicacao e agenda 5 | Teste e conferencia 7 | Total 60'. DOC-C05-001, Somatorio por Value Stream: 'Control Plane 6h | Paginas, destinos, CTAs e formularios 10h | Commerce / Hotmart / afiliados / produtos 8h | 3 Packages editoriais 15h | 3 Showrooms 9h | CMS + distribuicao 5h | QA / tracking 7h | TOTAL 60h'.</t>
        </is>
      </c>
      <c r="J504" s="17" t="inlineStr">
        <is>
          <t>strong</t>
        </is>
      </c>
      <c r="K504" s="17" t="inlineStr">
        <is>
          <t>0.9</t>
        </is>
      </c>
      <c r="L504" s="17" t="inlineStr">
        <is>
          <t>conflict</t>
        </is>
      </c>
    </row>
    <row r="505">
      <c r="A505" s="17" t="inlineStr">
        <is>
          <t>EV-d9b832110f</t>
        </is>
      </c>
      <c r="B505" s="17" t="inlineStr">
        <is>
          <t>strategic_analysis</t>
        </is>
      </c>
      <c r="C505" s="17" t="inlineStr">
        <is>
          <t>r2</t>
        </is>
      </c>
      <c r="D505" s="18" t="inlineStr">
        <is>
          <t>As duas fontes de capacidade divergem na alocacao por frente, apesar de fecharem o mesmo total de 60h.</t>
        </is>
      </c>
      <c r="E505" s="17" t="inlineStr">
        <is>
          <t>SA-07B</t>
        </is>
      </c>
      <c r="F505" s="17" t="inlineStr">
        <is>
          <t>capacity_conflict</t>
        </is>
      </c>
      <c r="G505" s="17" t="inlineStr">
        <is>
          <t>ECO-05</t>
        </is>
      </c>
      <c r="H505" s="17" t="inlineStr">
        <is>
          <t>DOC-C05-001</t>
        </is>
      </c>
      <c r="I505" s="18" t="inlineStr">
        <is>
          <t>DOC-C08-008: 'Central, rotas e chamadas 12 | Ofertas e cadastros 6 | Tres pecas editoriais 15 | Demonstracoes 15 | Publicacao e agenda 5 | Teste e conferencia 7 | Total 60'. DOC-C05-001, Somatorio por Value Stream: 'Control Plane 6h | Paginas, destinos, CTAs e formularios 10h | Commerce / Hotmart / afiliados / produtos 8h | 3 Packages editoriais 15h | 3 Showrooms 9h | CMS + distribuicao 5h | QA / tracking 7h | TOTAL 60h'.</t>
        </is>
      </c>
      <c r="J505" s="17" t="inlineStr">
        <is>
          <t>strong</t>
        </is>
      </c>
      <c r="K505" s="17" t="inlineStr">
        <is>
          <t>0.9</t>
        </is>
      </c>
      <c r="L505" s="17" t="inlineStr">
        <is>
          <t>conflict</t>
        </is>
      </c>
    </row>
    <row r="506">
      <c r="A506" s="17" t="inlineStr">
        <is>
          <t>EV-f901aa075d</t>
        </is>
      </c>
      <c r="B506" s="17" t="inlineStr">
        <is>
          <t>strategic_analysis</t>
        </is>
      </c>
      <c r="C506" s="17" t="inlineStr">
        <is>
          <t>r2</t>
        </is>
      </c>
      <c r="D506" s="18" t="inlineStr">
        <is>
          <t>Nao existe nenhum requisito de produto escrito para o livro autoral de Risco Cognitivo: nem formato, nem extensao, nem publico, nem canal.</t>
        </is>
      </c>
      <c r="E506" s="17" t="inlineStr">
        <is>
          <t>SA-12</t>
        </is>
      </c>
      <c r="F506" s="17" t="inlineStr">
        <is>
          <t>requirements</t>
        </is>
      </c>
      <c r="G506" s="17" t="inlineStr">
        <is>
          <t>ECO-06</t>
        </is>
      </c>
      <c r="H506" s="17" t="inlineStr">
        <is>
          <t>DOC-C02-002</t>
        </is>
      </c>
      <c r="I506" s="18" t="inlineStr">
        <is>
          <t>MASTER_INDEX RC-029 especifica apenas o white paper ('white paper de 15-30 paginas e eventual deposito em Zenodo para DOI', status PENDENTE); o livro aparece somente como ultimo item da escada RC-028, sem atributo algum.</t>
        </is>
      </c>
      <c r="J506" s="17" t="inlineStr">
        <is>
          <t>strong</t>
        </is>
      </c>
      <c r="K506" s="17" t="inlineStr">
        <is>
          <t>0.9</t>
        </is>
      </c>
      <c r="L506" s="17" t="inlineStr">
        <is>
          <t>gap</t>
        </is>
      </c>
    </row>
    <row r="507">
      <c r="A507" s="17" t="inlineStr">
        <is>
          <t>EV-76b854d5cf</t>
        </is>
      </c>
      <c r="B507" s="17" t="inlineStr">
        <is>
          <t>strategic_analysis</t>
        </is>
      </c>
      <c r="C507" s="17" t="inlineStr">
        <is>
          <t>r2</t>
        </is>
      </c>
      <c r="D507" s="18" t="inlineStr">
        <is>
          <t>Nao existe nenhum requisito de produto escrito para o livro autoral de Risco Cognitivo: nem formato, nem extensao, nem publico, nem canal.</t>
        </is>
      </c>
      <c r="E507" s="17" t="inlineStr">
        <is>
          <t>SA-12</t>
        </is>
      </c>
      <c r="F507" s="17" t="inlineStr">
        <is>
          <t>requirements</t>
        </is>
      </c>
      <c r="G507" s="17" t="inlineStr">
        <is>
          <t>ECO-06</t>
        </is>
      </c>
      <c r="H507" s="17" t="inlineStr">
        <is>
          <t>DOC-C02-042</t>
        </is>
      </c>
      <c r="I507" s="18" t="inlineStr">
        <is>
          <t>MASTER_INDEX RC-029 especifica apenas o white paper ('white paper de 15-30 paginas e eventual deposito em Zenodo para DOI', status PENDENTE); o livro aparece somente como ultimo item da escada RC-028, sem atributo algum.</t>
        </is>
      </c>
      <c r="J507" s="17" t="inlineStr">
        <is>
          <t>strong</t>
        </is>
      </c>
      <c r="K507" s="17" t="inlineStr">
        <is>
          <t>0.9</t>
        </is>
      </c>
      <c r="L507" s="17" t="inlineStr">
        <is>
          <t>gap</t>
        </is>
      </c>
    </row>
    <row r="508">
      <c r="A508" s="17" t="inlineStr">
        <is>
          <t>EV-61dba27b6d</t>
        </is>
      </c>
      <c r="B508" s="17" t="inlineStr">
        <is>
          <t>strategic_analysis</t>
        </is>
      </c>
      <c r="C508" s="17" t="inlineStr">
        <is>
          <t>r2</t>
        </is>
      </c>
      <c r="D508" s="18" t="inlineStr">
        <is>
          <t>O plano do livro autoral tem uma campanha de 14 dias com 18 ativos e fases nomeadas, mas sem datas de calendario e sem percentual de progresso.</t>
        </is>
      </c>
      <c r="E508" s="17" t="inlineStr">
        <is>
          <t>SA-13</t>
        </is>
      </c>
      <c r="F508" s="17" t="inlineStr">
        <is>
          <t>gtm</t>
        </is>
      </c>
      <c r="G508" s="17" t="inlineStr">
        <is>
          <t>ECO-06</t>
        </is>
      </c>
      <c r="H508" s="17" t="inlineStr">
        <is>
          <t>DOC-C02-039</t>
        </is>
      </c>
      <c r="I508" s="18" t="inlineStr">
        <is>
          <t>BMC/Gantt: '14 dias | campanha | 18 ativos | pacote principal | % geral nao informado'; sequencia D1 a D14: 'Artigo + landing (Fundacao), Manifesto, Carrossel 1, Short 1, Dado/micropost, Video principal (Derivacao), Newsletter, Infografico, Short 2, Carrossel 2 (Distribuicao), Checklist, Short 3, Lead magnet (Conversao editorial), Sintese + CTA editorial (Validacao)'.</t>
        </is>
      </c>
      <c r="J508" s="17" t="inlineStr">
        <is>
          <t>strong</t>
        </is>
      </c>
      <c r="K508" s="17" t="inlineStr">
        <is>
          <t>0.85</t>
        </is>
      </c>
      <c r="L508" s="17" t="inlineStr">
        <is>
          <t>fact</t>
        </is>
      </c>
    </row>
    <row r="509">
      <c r="A509" s="17" t="inlineStr">
        <is>
          <t>EV-7a969cea57</t>
        </is>
      </c>
      <c r="B509" s="17" t="inlineStr">
        <is>
          <t>strategic_analysis</t>
        </is>
      </c>
      <c r="C509" s="17" t="inlineStr">
        <is>
          <t>r2</t>
        </is>
      </c>
      <c r="D509" s="18" t="inlineStr">
        <is>
          <t>Existem dois planos de 14 dias sobre a mesma capacidade de 6h/dia, um do lancamento Executar e um da campanha Risco Cognitivo.</t>
        </is>
      </c>
      <c r="E509" s="17" t="inlineStr">
        <is>
          <t>SA-13</t>
        </is>
      </c>
      <c r="F509" s="17" t="inlineStr">
        <is>
          <t>gtm</t>
        </is>
      </c>
      <c r="G509" s="17" t="inlineStr">
        <is>
          <t>ECO-08</t>
        </is>
      </c>
      <c r="H509" s="17" t="inlineStr">
        <is>
          <t>DOC-C08-011</t>
        </is>
      </c>
      <c r="I509" s="18" t="inlineStr">
        <is>
          <t>DOC-C08-011 lista a fila unica de 14 dias 25/08 a 07/09 do lancamento Executar. O BMC do Risco Cognitivo (data 2026-08-28) descreve '14 dias, campanha, 18 ativos' com D1-D14 proprios. Nenhum documento reconcilia os dois calendarios.</t>
        </is>
      </c>
      <c r="J509" s="17" t="inlineStr">
        <is>
          <t>strong</t>
        </is>
      </c>
      <c r="K509" s="17" t="inlineStr">
        <is>
          <t>0.85</t>
        </is>
      </c>
      <c r="L509" s="17" t="inlineStr">
        <is>
          <t>conflict</t>
        </is>
      </c>
    </row>
    <row r="510">
      <c r="A510" s="17" t="inlineStr">
        <is>
          <t>EV-22b65d1d1d</t>
        </is>
      </c>
      <c r="B510" s="17" t="inlineStr">
        <is>
          <t>strategic_analysis</t>
        </is>
      </c>
      <c r="C510" s="17" t="inlineStr">
        <is>
          <t>r2</t>
        </is>
      </c>
      <c r="D510" s="18" t="inlineStr">
        <is>
          <t>Existem dois planos de 14 dias sobre a mesma capacidade de 6h/dia, um do lancamento Executar e um da campanha Risco Cognitivo.</t>
        </is>
      </c>
      <c r="E510" s="17" t="inlineStr">
        <is>
          <t>SA-13</t>
        </is>
      </c>
      <c r="F510" s="17" t="inlineStr">
        <is>
          <t>gtm</t>
        </is>
      </c>
      <c r="G510" s="17" t="inlineStr">
        <is>
          <t>ECO-08</t>
        </is>
      </c>
      <c r="H510" s="17" t="inlineStr">
        <is>
          <t>DOC-C02-039</t>
        </is>
      </c>
      <c r="I510" s="18" t="inlineStr">
        <is>
          <t>DOC-C08-011 lista a fila unica de 14 dias 25/08 a 07/09 do lancamento Executar. O BMC do Risco Cognitivo (data 2026-08-28) descreve '14 dias, campanha, 18 ativos' com D1-D14 proprios. Nenhum documento reconcilia os dois calendarios.</t>
        </is>
      </c>
      <c r="J510" s="17" t="inlineStr">
        <is>
          <t>strong</t>
        </is>
      </c>
      <c r="K510" s="17" t="inlineStr">
        <is>
          <t>0.85</t>
        </is>
      </c>
      <c r="L510" s="17" t="inlineStr">
        <is>
          <t>conflict</t>
        </is>
      </c>
    </row>
    <row r="511">
      <c r="A511" s="17" t="inlineStr">
        <is>
          <t>EV-1dd8269abb</t>
        </is>
      </c>
      <c r="B511" s="17" t="inlineStr">
        <is>
          <t>strategic_analysis</t>
        </is>
      </c>
      <c r="C511" s="17" t="inlineStr">
        <is>
          <t>r2</t>
        </is>
      </c>
      <c r="D511" s="18" t="inlineStr">
        <is>
          <t>Existem dois planos de 14 dias sobre a mesma capacidade de 6h/dia, um do lancamento Executar e um da campanha Risco Cognitivo.</t>
        </is>
      </c>
      <c r="E511" s="17" t="inlineStr">
        <is>
          <t>SA-13</t>
        </is>
      </c>
      <c r="F511" s="17" t="inlineStr">
        <is>
          <t>gtm</t>
        </is>
      </c>
      <c r="G511" s="17" t="inlineStr">
        <is>
          <t>ECO-08</t>
        </is>
      </c>
      <c r="H511" s="17" t="inlineStr">
        <is>
          <t>DOC-C08-008</t>
        </is>
      </c>
      <c r="I511" s="18" t="inlineStr">
        <is>
          <t>DOC-C08-011 lista a fila unica de 14 dias 25/08 a 07/09 do lancamento Executar. O BMC do Risco Cognitivo (data 2026-08-28) descreve '14 dias, campanha, 18 ativos' com D1-D14 proprios. Nenhum documento reconcilia os dois calendarios.</t>
        </is>
      </c>
      <c r="J511" s="17" t="inlineStr">
        <is>
          <t>strong</t>
        </is>
      </c>
      <c r="K511" s="17" t="inlineStr">
        <is>
          <t>0.85</t>
        </is>
      </c>
      <c r="L511" s="17" t="inlineStr">
        <is>
          <t>conflict</t>
        </is>
      </c>
    </row>
    <row r="512">
      <c r="A512" s="17" t="inlineStr">
        <is>
          <t>EV-2fbc0919e8</t>
        </is>
      </c>
      <c r="B512" s="17" t="inlineStr">
        <is>
          <t>strategic_analysis</t>
        </is>
      </c>
      <c r="C512" s="17" t="inlineStr">
        <is>
          <t>r2</t>
        </is>
      </c>
      <c r="D512" s="18" t="inlineStr">
        <is>
          <t>Nao ha nenhuma evidencia de leitor, resenha, teste de capa ou pesquisa de titulo para os livros digitais.</t>
        </is>
      </c>
      <c r="E512" s="17" t="inlineStr">
        <is>
          <t>SA-04D</t>
        </is>
      </c>
      <c r="F512" s="17" t="inlineStr">
        <is>
          <t>voice_of_customer</t>
        </is>
      </c>
      <c r="G512" s="17" t="inlineStr">
        <is>
          <t>ECO-06</t>
        </is>
      </c>
      <c r="H512" s="17" t="inlineStr">
        <is>
          <t>DOC-C13-004</t>
        </is>
      </c>
      <c r="I512" s="18" t="inlineStr">
        <is>
          <t>As unicas evidencias de leitor no acervo sao referencias bibliograficas de terceiros; DOC-C13-004 classifica as capas como referencia visual e adverte 'nao confunda referencia com material aprovado para publicacao'.</t>
        </is>
      </c>
      <c r="J512" s="17" t="inlineStr">
        <is>
          <t>strong</t>
        </is>
      </c>
      <c r="K512" s="17" t="inlineStr">
        <is>
          <t>0.8</t>
        </is>
      </c>
      <c r="L512" s="17" t="inlineStr">
        <is>
          <t>gap</t>
        </is>
      </c>
    </row>
    <row r="513">
      <c r="A513" s="17" t="inlineStr">
        <is>
          <t>EV-1a3bb70701</t>
        </is>
      </c>
      <c r="B513" s="17" t="inlineStr">
        <is>
          <t>strategic_analysis</t>
        </is>
      </c>
      <c r="C513" s="17" t="inlineStr">
        <is>
          <t>r2</t>
        </is>
      </c>
      <c r="D513" s="18" t="inlineStr">
        <is>
          <t>Nao ha nenhuma evidencia de leitor, resenha, teste de capa ou pesquisa de titulo para os livros digitais.</t>
        </is>
      </c>
      <c r="E513" s="17" t="inlineStr">
        <is>
          <t>SA-04D</t>
        </is>
      </c>
      <c r="F513" s="17" t="inlineStr">
        <is>
          <t>voice_of_customer</t>
        </is>
      </c>
      <c r="G513" s="17" t="inlineStr">
        <is>
          <t>ECO-06</t>
        </is>
      </c>
      <c r="H513" s="17" t="inlineStr">
        <is>
          <t>DOC-C09-011</t>
        </is>
      </c>
      <c r="I513" s="18" t="inlineStr">
        <is>
          <t>As unicas evidencias de leitor no acervo sao referencias bibliograficas de terceiros; DOC-C13-004 classifica as capas como referencia visual e adverte 'nao confunda referencia com material aprovado para publicacao'.</t>
        </is>
      </c>
      <c r="J513" s="17" t="inlineStr">
        <is>
          <t>strong</t>
        </is>
      </c>
      <c r="K513" s="17" t="inlineStr">
        <is>
          <t>0.8</t>
        </is>
      </c>
      <c r="L513" s="17" t="inlineStr">
        <is>
          <t>gap</t>
        </is>
      </c>
    </row>
    <row r="514">
      <c r="A514" s="17" t="inlineStr">
        <is>
          <t>EV-7b3a744c1d</t>
        </is>
      </c>
      <c r="B514" s="17" t="inlineStr">
        <is>
          <t>strategic_analysis</t>
        </is>
      </c>
      <c r="C514" s="17" t="inlineStr">
        <is>
          <t>r2</t>
        </is>
      </c>
      <c r="D514" s="18" t="inlineStr">
        <is>
          <t>A atratividade do livro autoral e afirmada por whitespace, e o proprio acervo classifica isso como hipotese e nao como achado validado.</t>
        </is>
      </c>
      <c r="E514" s="17" t="inlineStr">
        <is>
          <t>SA-10A</t>
        </is>
      </c>
      <c r="F514" s="17" t="inlineStr">
        <is>
          <t>market_attractiveness</t>
        </is>
      </c>
      <c r="G514" s="17" t="inlineStr">
        <is>
          <t>ECO-06</t>
        </is>
      </c>
      <c r="H514" s="17" t="inlineStr">
        <is>
          <t>DOC-C02-002</t>
        </is>
      </c>
      <c r="I514" s="18" t="inlineStr">
        <is>
          <t>MASTER_INDEX RC-016, status HIPOTESE: 'Nao foi encontrado na pesquisa executada um framework consolidado que una TDAH/funcoes executivas + risco endogeno + gestao de projetos + controles compensatorios de execucao... Validar com scoping review sistematica e especialistas.'</t>
        </is>
      </c>
      <c r="J514" s="17" t="inlineStr">
        <is>
          <t>strong</t>
        </is>
      </c>
      <c r="K514" s="17" t="inlineStr">
        <is>
          <t>0.9</t>
        </is>
      </c>
      <c r="L514" s="17" t="inlineStr">
        <is>
          <t>hypothesis</t>
        </is>
      </c>
    </row>
    <row r="515">
      <c r="A515" s="17" t="inlineStr">
        <is>
          <t>EV-234738cea9</t>
        </is>
      </c>
      <c r="B515" s="17" t="inlineStr">
        <is>
          <t>strategic_analysis</t>
        </is>
      </c>
      <c r="C515" s="17" t="inlineStr">
        <is>
          <t>r2</t>
        </is>
      </c>
      <c r="D515" s="18" t="inlineStr">
        <is>
          <t>A cadeia de infoproduto tem uma dependencia externa fora do controle do operador: aprovacao de conta e de produto na plataforma.</t>
        </is>
      </c>
      <c r="E515" s="17" t="inlineStr">
        <is>
          <t>SA-07A</t>
        </is>
      </c>
      <c r="F515" s="17" t="inlineStr">
        <is>
          <t>value_chain</t>
        </is>
      </c>
      <c r="G515" s="17" t="inlineStr">
        <is>
          <t>ECO-05</t>
        </is>
      </c>
      <c r="H515" s="17" t="inlineStr">
        <is>
          <t>DOC-C09-015</t>
        </is>
      </c>
      <c r="I515" s="18" t="inlineStr">
        <is>
          <t>DOC-C09-015 exige 'teste de compra quando possivel' e 'Registrar ligacao final e captura/estado de aprovacao ou disponibilidade'; DOC-C05-001, D1: 'iniciar dependencias externas Amazon/Hotmart' com DoD 'pendencias externas disparadas'.</t>
        </is>
      </c>
      <c r="J515" s="17" t="inlineStr">
        <is>
          <t>strong</t>
        </is>
      </c>
      <c r="K515" s="17" t="inlineStr">
        <is>
          <t>0.85</t>
        </is>
      </c>
      <c r="L515" s="17" t="inlineStr">
        <is>
          <t>fact</t>
        </is>
      </c>
    </row>
    <row r="516">
      <c r="A516" s="17" t="inlineStr">
        <is>
          <t>EV-43c63d6e0d</t>
        </is>
      </c>
      <c r="B516" s="17" t="inlineStr">
        <is>
          <t>strategic_analysis</t>
        </is>
      </c>
      <c r="C516" s="17" t="inlineStr">
        <is>
          <t>r2</t>
        </is>
      </c>
      <c r="D516" s="18" t="inlineStr">
        <is>
          <t>A cadeia de infoproduto tem uma dependencia externa fora do controle do operador: aprovacao de conta e de produto na plataforma.</t>
        </is>
      </c>
      <c r="E516" s="17" t="inlineStr">
        <is>
          <t>SA-07A</t>
        </is>
      </c>
      <c r="F516" s="17" t="inlineStr">
        <is>
          <t>value_chain</t>
        </is>
      </c>
      <c r="G516" s="17" t="inlineStr">
        <is>
          <t>ECO-05</t>
        </is>
      </c>
      <c r="H516" s="17" t="inlineStr">
        <is>
          <t>DOC-C05-001</t>
        </is>
      </c>
      <c r="I516" s="18" t="inlineStr">
        <is>
          <t>DOC-C09-015 exige 'teste de compra quando possivel' e 'Registrar ligacao final e captura/estado de aprovacao ou disponibilidade'; DOC-C05-001, D1: 'iniciar dependencias externas Amazon/Hotmart' com DoD 'pendencias externas disparadas'.</t>
        </is>
      </c>
      <c r="J516" s="17" t="inlineStr">
        <is>
          <t>strong</t>
        </is>
      </c>
      <c r="K516" s="17" t="inlineStr">
        <is>
          <t>0.85</t>
        </is>
      </c>
      <c r="L516" s="17" t="inlineStr">
        <is>
          <t>fact</t>
        </is>
      </c>
    </row>
    <row r="517">
      <c r="A517" s="17" t="inlineStr">
        <is>
          <t>EV-7ab72906f1</t>
        </is>
      </c>
      <c r="B517" s="17" t="inlineStr">
        <is>
          <t>strategic_analysis</t>
        </is>
      </c>
      <c r="C517" s="17" t="inlineStr">
        <is>
          <t>r2</t>
        </is>
      </c>
      <c r="D517" s="18" t="inlineStr">
        <is>
          <t>O acervo reconhece que o vinculo entre produto fisico e retencao e uma proposta a validar, nao um fato.</t>
        </is>
      </c>
      <c r="E517" s="17" t="inlineStr">
        <is>
          <t>SA-08B</t>
        </is>
      </c>
      <c r="F517" s="17" t="inlineStr">
        <is>
          <t>customer</t>
        </is>
      </c>
      <c r="G517" s="17" t="inlineStr">
        <is>
          <t>ECO-04</t>
        </is>
      </c>
      <c r="H517" s="17" t="inlineStr">
        <is>
          <t>DOC-C07-009</t>
        </is>
      </c>
      <c r="I517" s="18" t="inlineStr">
        <is>
          <t>Dashboard QL-0039, acao secundaria: 'Validar economia unitaria e vinculo real entre fisico e retencao'.</t>
        </is>
      </c>
      <c r="J517" s="17" t="inlineStr">
        <is>
          <t>moderate</t>
        </is>
      </c>
      <c r="K517" s="17" t="inlineStr">
        <is>
          <t>0.8</t>
        </is>
      </c>
      <c r="L517" s="17" t="inlineStr">
        <is>
          <t>fact</t>
        </is>
      </c>
    </row>
    <row r="518">
      <c r="A518" s="17" t="inlineStr">
        <is>
          <t>EV-608ce2faab</t>
        </is>
      </c>
      <c r="B518" s="17" t="inlineStr">
        <is>
          <t>strategic_analysis</t>
        </is>
      </c>
      <c r="C518" s="17" t="inlineStr">
        <is>
          <t>r2</t>
        </is>
      </c>
      <c r="D518" s="18" t="inlineStr">
        <is>
          <t>O curso ja tem estrutura pedagogica dimensionada, o que reduz o risco de escopo indefinido na producao.</t>
        </is>
      </c>
      <c r="E518" s="17" t="inlineStr">
        <is>
          <t>SA-09C</t>
        </is>
      </c>
      <c r="F518" s="17" t="inlineStr">
        <is>
          <t>opportunity</t>
        </is>
      </c>
      <c r="G518" s="17" t="inlineStr">
        <is>
          <t>ECO-05</t>
        </is>
      </c>
      <c r="H518" s="17" t="inlineStr">
        <is>
          <t>DOC-C05-001</t>
        </is>
      </c>
      <c r="I518" s="18" t="inlineStr">
        <is>
          <t>Ecossistema, 'O curso principal': 'Modulos principais 4 - um por E | Aulas por modulo 4-6 | Total de aulas 18-24 | Duracao por aula 6-12 min | Video total ~2,5-4 horas | Aplicacoes guiadas ~2 horas adicionais | Avaliacao Checkpoint por modulo | Material de apoio Workbook + mapas + templates | Conclusao Projeto pessoal / sistema minimo implementado'.</t>
        </is>
      </c>
      <c r="J518" s="17" t="inlineStr">
        <is>
          <t>strong</t>
        </is>
      </c>
      <c r="K518" s="17" t="inlineStr">
        <is>
          <t>0.85</t>
        </is>
      </c>
      <c r="L518" s="17" t="inlineStr">
        <is>
          <t>fact</t>
        </is>
      </c>
    </row>
    <row r="519">
      <c r="A519" s="17" t="inlineStr">
        <is>
          <t>EV-c029c87342</t>
        </is>
      </c>
      <c r="B519" s="17" t="inlineStr">
        <is>
          <t>strategic_analysis</t>
        </is>
      </c>
      <c r="C519" s="17" t="inlineStr">
        <is>
          <t>r2</t>
        </is>
      </c>
      <c r="D519" s="18" t="inlineStr">
        <is>
          <t>O curso ja tem estrutura pedagogica dimensionada, o que reduz o risco de escopo indefinido na producao.</t>
        </is>
      </c>
      <c r="E519" s="17" t="inlineStr">
        <is>
          <t>SA-09C</t>
        </is>
      </c>
      <c r="F519" s="17" t="inlineStr">
        <is>
          <t>opportunity</t>
        </is>
      </c>
      <c r="G519" s="17" t="inlineStr">
        <is>
          <t>ECO-05</t>
        </is>
      </c>
      <c r="H519" s="17" t="inlineStr">
        <is>
          <t>DOC-C09-013</t>
        </is>
      </c>
      <c r="I519" s="18" t="inlineStr">
        <is>
          <t>Ecossistema, 'O curso principal': 'Modulos principais 4 - um por E | Aulas por modulo 4-6 | Total de aulas 18-24 | Duracao por aula 6-12 min | Video total ~2,5-4 horas | Aplicacoes guiadas ~2 horas adicionais | Avaliacao Checkpoint por modulo | Material de apoio Workbook + mapas + templates | Conclusao Projeto pessoal / sistema minimo implementado'.</t>
        </is>
      </c>
      <c r="J519" s="17" t="inlineStr">
        <is>
          <t>strong</t>
        </is>
      </c>
      <c r="K519" s="17" t="inlineStr">
        <is>
          <t>0.85</t>
        </is>
      </c>
      <c r="L519" s="17" t="inlineStr">
        <is>
          <t>fact</t>
        </is>
      </c>
    </row>
    <row r="520">
      <c r="A520" s="17" t="inlineStr">
        <is>
          <t>EV-e2a98cc5d9</t>
        </is>
      </c>
      <c r="B520" s="17" t="inlineStr">
        <is>
          <t>strategic_analysis</t>
        </is>
      </c>
      <c r="C520" s="17" t="inlineStr">
        <is>
          <t>r2</t>
        </is>
      </c>
      <c r="D520" s="18" t="inlineStr">
        <is>
          <t>O desenho do infoproduto adota regras de acessibilidade cognitiva como requisito editorial, o que e coerente com o publico declarado.</t>
        </is>
      </c>
      <c r="E520" s="17" t="inlineStr">
        <is>
          <t>SA-01</t>
        </is>
      </c>
      <c r="F520" s="17" t="inlineStr">
        <is>
          <t>social</t>
        </is>
      </c>
      <c r="G520" s="17" t="inlineStr">
        <is>
          <t>ECO-05</t>
        </is>
      </c>
      <c r="H520" s="17" t="inlineStr">
        <is>
          <t>DOC-C05-001</t>
        </is>
      </c>
      <c r="I520" s="18" t="inlineStr">
        <is>
          <t>Ecossistema: 'Para o publico neurodivergente, eu adotaria como regra de acessibilidade frases curtas, blocos pequenos, linguagem inequivoca, imagens claras, bom espaco em branco e definicoes para termos incomuns - tambem alinhado as recomendacoes de acessibilidade cognitiva do W3C'.</t>
        </is>
      </c>
      <c r="J520" s="17" t="inlineStr">
        <is>
          <t>moderate</t>
        </is>
      </c>
      <c r="K520" s="17" t="inlineStr">
        <is>
          <t>0.8</t>
        </is>
      </c>
      <c r="L520" s="17" t="inlineStr">
        <is>
          <t>fact</t>
        </is>
      </c>
    </row>
    <row r="521">
      <c r="A521" s="17" t="inlineStr">
        <is>
          <t>EV-b2f450e9c2</t>
        </is>
      </c>
      <c r="B521" s="17" t="inlineStr">
        <is>
          <t>strategic_analysis</t>
        </is>
      </c>
      <c r="C521" s="17" t="inlineStr">
        <is>
          <t>r2</t>
        </is>
      </c>
      <c r="D521" s="18" t="inlineStr">
        <is>
          <t>O fluxo operacional de afiliados tem nove etapas descritas e uma pendencia formalizada e nao executada.</t>
        </is>
      </c>
      <c r="E521" s="17" t="inlineStr">
        <is>
          <t>SA-07A</t>
        </is>
      </c>
      <c r="F521" s="17" t="inlineStr">
        <is>
          <t>value_chain</t>
        </is>
      </c>
      <c r="G521" s="17" t="inlineStr">
        <is>
          <t>ECO-08</t>
        </is>
      </c>
      <c r="H521" s="17" t="inlineStr">
        <is>
          <t>DOC-C05-001</t>
        </is>
      </c>
      <c r="I521" s="18" t="inlineStr">
        <is>
          <t>Ecossistema, 'Como implementar': etapas 01 a 09, de 'Criar cadastro no Programa de Associados Amazon Brasil' a 'Cruzar receita de afiliado com artigo, video, autor e assunto'; e 'Pendencia operacional ja definida: AF-SETUP-001 - Cadastrar Amazon Associados + criar IDs de rastreamento + substituir links-base'.</t>
        </is>
      </c>
      <c r="J521" s="17" t="inlineStr">
        <is>
          <t>strong</t>
        </is>
      </c>
      <c r="K521" s="17" t="inlineStr">
        <is>
          <t>0.9</t>
        </is>
      </c>
      <c r="L521" s="17" t="inlineStr">
        <is>
          <t>fact</t>
        </is>
      </c>
    </row>
    <row r="522">
      <c r="A522" s="17" t="inlineStr">
        <is>
          <t>EV-bc90cfae22</t>
        </is>
      </c>
      <c r="B522" s="17" t="inlineStr">
        <is>
          <t>strategic_analysis</t>
        </is>
      </c>
      <c r="C522" s="17" t="inlineStr">
        <is>
          <t>r2</t>
        </is>
      </c>
      <c r="D522" s="18" t="inlineStr">
        <is>
          <t>O fluxo operacional de afiliados tem nove etapas descritas e uma pendencia formalizada e nao executada.</t>
        </is>
      </c>
      <c r="E522" s="17" t="inlineStr">
        <is>
          <t>SA-07A</t>
        </is>
      </c>
      <c r="F522" s="17" t="inlineStr">
        <is>
          <t>value_chain</t>
        </is>
      </c>
      <c r="G522" s="17" t="inlineStr">
        <is>
          <t>ECO-08</t>
        </is>
      </c>
      <c r="H522" s="17" t="inlineStr">
        <is>
          <t>DOC-C09-018</t>
        </is>
      </c>
      <c r="I522" s="18" t="inlineStr">
        <is>
          <t>Ecossistema, 'Como implementar': etapas 01 a 09, de 'Criar cadastro no Programa de Associados Amazon Brasil' a 'Cruzar receita de afiliado com artigo, video, autor e assunto'; e 'Pendencia operacional ja definida: AF-SETUP-001 - Cadastrar Amazon Associados + criar IDs de rastreamento + substituir links-base'.</t>
        </is>
      </c>
      <c r="J522" s="17" t="inlineStr">
        <is>
          <t>strong</t>
        </is>
      </c>
      <c r="K522" s="17" t="inlineStr">
        <is>
          <t>0.9</t>
        </is>
      </c>
      <c r="L522" s="17" t="inlineStr">
        <is>
          <t>fact</t>
        </is>
      </c>
    </row>
    <row r="523">
      <c r="A523" s="17" t="inlineStr">
        <is>
          <t>EV-6ec82291e8</t>
        </is>
      </c>
      <c r="B523" s="17" t="inlineStr">
        <is>
          <t>strategic_analysis</t>
        </is>
      </c>
      <c r="C523" s="17" t="inlineStr">
        <is>
          <t>r2</t>
        </is>
      </c>
      <c r="D523" s="18" t="inlineStr">
        <is>
          <t>A lista de interlocutores externos esta segmentada por area de conhecimento e por abordagem recomendada, com contato publico verificado.</t>
        </is>
      </c>
      <c r="E523" s="17" t="inlineStr">
        <is>
          <t>SA-04A</t>
        </is>
      </c>
      <c r="F523" s="17" t="inlineStr">
        <is>
          <t>segmentation</t>
        </is>
      </c>
      <c r="G523" s="17" t="inlineStr">
        <is>
          <t>ECO-08</t>
        </is>
      </c>
      <c r="H523" s="17" t="inlineStr">
        <is>
          <t>DOC-C02-029</t>
        </is>
      </c>
      <c r="I523" s="18" t="inlineStr">
        <is>
          <t>RISCO_COGNITIVO_CONTACTS.csv: RC-CON-002 'Marcio Sonego - TDAH e empreendedorismo no Brasil - marciolsonego@gmail.com'; RC-CON-005 'Kirsty Lauder - Neurodiversity Research at Work'; RC-CON-007 'Sarah Gardner - Project management; cognitive risk; governanca e IA - nenhum e-mail foi registrado no pacote'; RC-CON-008 autores APM sem e-mail: 'nao foram adicionados e-mails nao verificados'.</t>
        </is>
      </c>
      <c r="J523" s="17" t="inlineStr">
        <is>
          <t>strong</t>
        </is>
      </c>
      <c r="K523" s="17" t="inlineStr">
        <is>
          <t>0.9</t>
        </is>
      </c>
      <c r="L523" s="17" t="inlineStr">
        <is>
          <t>fact</t>
        </is>
      </c>
    </row>
    <row r="524">
      <c r="A524" s="17" t="inlineStr">
        <is>
          <t>EV-6f93641310</t>
        </is>
      </c>
      <c r="B524" s="17" t="inlineStr">
        <is>
          <t>strategic_analysis</t>
        </is>
      </c>
      <c r="C524" s="17" t="inlineStr">
        <is>
          <t>r2</t>
        </is>
      </c>
      <c r="D524" s="18" t="inlineStr">
        <is>
          <t>Nao ha segmentacao de compradores do curso: a unica divisao declarada e por fase pedagogica (4E), que e estrutura de conteudo e nao de mercado.</t>
        </is>
      </c>
      <c r="E524" s="17" t="inlineStr">
        <is>
          <t>SA-04A</t>
        </is>
      </c>
      <c r="F524" s="17" t="inlineStr">
        <is>
          <t>segmentation</t>
        </is>
      </c>
      <c r="G524" s="17" t="inlineStr">
        <is>
          <t>ECO-05</t>
        </is>
      </c>
      <c r="H524" s="17" t="inlineStr">
        <is>
          <t>DOC-C09-013</t>
        </is>
      </c>
      <c r="I524" s="18" t="inlineStr">
        <is>
          <t>DOC-C09-013 define apenas 'Estrutura: 4 modulos: Entender, Estruturar, Executar, Evoluir'; DOC-C09-016 define o papel das linhas ('Livros digitais funcionam como produto de entrada e aplicacao. Curso funciona como aplicacao guiada') sem nomear segmentos de comprador.</t>
        </is>
      </c>
      <c r="J524" s="17" t="inlineStr">
        <is>
          <t>strong</t>
        </is>
      </c>
      <c r="K524" s="17" t="inlineStr">
        <is>
          <t>0.85</t>
        </is>
      </c>
      <c r="L524" s="17" t="inlineStr">
        <is>
          <t>gap</t>
        </is>
      </c>
    </row>
    <row r="525">
      <c r="A525" s="17" t="inlineStr">
        <is>
          <t>EV-b21655ef0a</t>
        </is>
      </c>
      <c r="B525" s="17" t="inlineStr">
        <is>
          <t>strategic_analysis</t>
        </is>
      </c>
      <c r="C525" s="17" t="inlineStr">
        <is>
          <t>r2</t>
        </is>
      </c>
      <c r="D525" s="18" t="inlineStr">
        <is>
          <t>Nao ha segmentacao de compradores do curso: a unica divisao declarada e por fase pedagogica (4E), que e estrutura de conteudo e nao de mercado.</t>
        </is>
      </c>
      <c r="E525" s="17" t="inlineStr">
        <is>
          <t>SA-04A</t>
        </is>
      </c>
      <c r="F525" s="17" t="inlineStr">
        <is>
          <t>segmentation</t>
        </is>
      </c>
      <c r="G525" s="17" t="inlineStr">
        <is>
          <t>ECO-05</t>
        </is>
      </c>
      <c r="H525" s="17" t="inlineStr">
        <is>
          <t>DOC-C09-016</t>
        </is>
      </c>
      <c r="I525" s="18" t="inlineStr">
        <is>
          <t>DOC-C09-013 define apenas 'Estrutura: 4 modulos: Entender, Estruturar, Executar, Evoluir'; DOC-C09-016 define o papel das linhas ('Livros digitais funcionam como produto de entrada e aplicacao. Curso funciona como aplicacao guiada') sem nomear segmentos de comprador.</t>
        </is>
      </c>
      <c r="J525" s="17" t="inlineStr">
        <is>
          <t>strong</t>
        </is>
      </c>
      <c r="K525" s="17" t="inlineStr">
        <is>
          <t>0.85</t>
        </is>
      </c>
      <c r="L525" s="17" t="inlineStr">
        <is>
          <t>gap</t>
        </is>
      </c>
    </row>
    <row r="526">
      <c r="A526" s="17" t="inlineStr">
        <is>
          <t>EV-379b08138c</t>
        </is>
      </c>
      <c r="B526" s="17" t="inlineStr">
        <is>
          <t>strategic_analysis</t>
        </is>
      </c>
      <c r="C526" s="17" t="inlineStr">
        <is>
          <t>r2</t>
        </is>
      </c>
      <c r="D526" s="18" t="inlineStr">
        <is>
          <t>O concorrente de referencia mais proximo em preco e catalogo e uma escola ampla de 200+ aulas a R$ 197, mesmo valor do bundle proprio.</t>
        </is>
      </c>
      <c r="E526" s="17" t="inlineStr">
        <is>
          <t>SA-08C</t>
        </is>
      </c>
      <c r="F526" s="17" t="inlineStr">
        <is>
          <t>competitor</t>
        </is>
      </c>
      <c r="G526" s="17" t="inlineStr">
        <is>
          <t>ECO-05</t>
        </is>
      </c>
      <c r="H526" s="17" t="inlineStr">
        <is>
          <t>DOC-C05-001</t>
        </is>
      </c>
      <c r="I526" s="18" t="inlineStr">
        <is>
          <t>Ecossistema, Benchmark curso: 'Escola ampla para adulto com TDAH | 200+ aulas | R$ 197'; escada propria: 'Curso + biblioteca R$ 197 Oferta principal'.</t>
        </is>
      </c>
      <c r="J526" s="17" t="inlineStr">
        <is>
          <t>moderate</t>
        </is>
      </c>
      <c r="K526" s="17" t="inlineStr">
        <is>
          <t>0.75</t>
        </is>
      </c>
      <c r="L526" s="17" t="inlineStr">
        <is>
          <t>inference</t>
        </is>
      </c>
    </row>
    <row r="527">
      <c r="A527" s="17" t="inlineStr">
        <is>
          <t>EV-4636c09c7c</t>
        </is>
      </c>
      <c r="B527" s="17" t="inlineStr">
        <is>
          <t>strategic_analysis</t>
        </is>
      </c>
      <c r="C527" s="17" t="inlineStr">
        <is>
          <t>r2</t>
        </is>
      </c>
      <c r="D527" s="18" t="inlineStr">
        <is>
          <t>A linha digital entra no lancamento com quatro produtos, dois formatos por titulo e dois canais de venda, contra 6 horas planejadas de ofertas e cadastros.</t>
        </is>
      </c>
      <c r="E527" s="17" t="inlineStr">
        <is>
          <t>SA-09B</t>
        </is>
      </c>
      <c r="F527" s="17" t="inlineStr">
        <is>
          <t>weakness</t>
        </is>
      </c>
      <c r="G527" s="17" t="inlineStr">
        <is>
          <t>ECO-05</t>
        </is>
      </c>
      <c r="H527" s="17" t="inlineStr">
        <is>
          <t>DOC-C09-011</t>
        </is>
      </c>
      <c r="I527" s="18" t="inlineStr">
        <is>
          <t>DOC-C09-011 (tres titulos, 'formato interativo + PDF complementar'), DOC-C09-013 (curso, 4 modulos), DOC-C09-016 ('A pagina propria e a Hotmart devem apontar para a mesma mensagem e oferta') e DOC-C08-008 ('Ofertas e cadastros 6' horas).</t>
        </is>
      </c>
      <c r="J527" s="17" t="inlineStr">
        <is>
          <t>strong</t>
        </is>
      </c>
      <c r="K527" s="17" t="inlineStr">
        <is>
          <t>0.85</t>
        </is>
      </c>
      <c r="L527" s="17" t="inlineStr">
        <is>
          <t>inference</t>
        </is>
      </c>
    </row>
    <row r="528">
      <c r="A528" s="17" t="inlineStr">
        <is>
          <t>EV-853e2105c5</t>
        </is>
      </c>
      <c r="B528" s="17" t="inlineStr">
        <is>
          <t>strategic_analysis</t>
        </is>
      </c>
      <c r="C528" s="17" t="inlineStr">
        <is>
          <t>r2</t>
        </is>
      </c>
      <c r="D528" s="18" t="inlineStr">
        <is>
          <t>A linha digital entra no lancamento com quatro produtos, dois formatos por titulo e dois canais de venda, contra 6 horas planejadas de ofertas e cadastros.</t>
        </is>
      </c>
      <c r="E528" s="17" t="inlineStr">
        <is>
          <t>SA-09B</t>
        </is>
      </c>
      <c r="F528" s="17" t="inlineStr">
        <is>
          <t>weakness</t>
        </is>
      </c>
      <c r="G528" s="17" t="inlineStr">
        <is>
          <t>ECO-05</t>
        </is>
      </c>
      <c r="H528" s="17" t="inlineStr">
        <is>
          <t>DOC-C09-013</t>
        </is>
      </c>
      <c r="I528" s="18" t="inlineStr">
        <is>
          <t>DOC-C09-011 (tres titulos, 'formato interativo + PDF complementar'), DOC-C09-013 (curso, 4 modulos), DOC-C09-016 ('A pagina propria e a Hotmart devem apontar para a mesma mensagem e oferta') e DOC-C08-008 ('Ofertas e cadastros 6' horas).</t>
        </is>
      </c>
      <c r="J528" s="17" t="inlineStr">
        <is>
          <t>strong</t>
        </is>
      </c>
      <c r="K528" s="17" t="inlineStr">
        <is>
          <t>0.85</t>
        </is>
      </c>
      <c r="L528" s="17" t="inlineStr">
        <is>
          <t>inference</t>
        </is>
      </c>
    </row>
    <row r="529">
      <c r="A529" s="17" t="inlineStr">
        <is>
          <t>EV-fe9d511236</t>
        </is>
      </c>
      <c r="B529" s="17" t="inlineStr">
        <is>
          <t>strategic_analysis</t>
        </is>
      </c>
      <c r="C529" s="17" t="inlineStr">
        <is>
          <t>r2</t>
        </is>
      </c>
      <c r="D529" s="18" t="inlineStr">
        <is>
          <t>A linha digital entra no lancamento com quatro produtos, dois formatos por titulo e dois canais de venda, contra 6 horas planejadas de ofertas e cadastros.</t>
        </is>
      </c>
      <c r="E529" s="17" t="inlineStr">
        <is>
          <t>SA-09B</t>
        </is>
      </c>
      <c r="F529" s="17" t="inlineStr">
        <is>
          <t>weakness</t>
        </is>
      </c>
      <c r="G529" s="17" t="inlineStr">
        <is>
          <t>ECO-05</t>
        </is>
      </c>
      <c r="H529" s="17" t="inlineStr">
        <is>
          <t>DOC-C09-016</t>
        </is>
      </c>
      <c r="I529" s="18" t="inlineStr">
        <is>
          <t>DOC-C09-011 (tres titulos, 'formato interativo + PDF complementar'), DOC-C09-013 (curso, 4 modulos), DOC-C09-016 ('A pagina propria e a Hotmart devem apontar para a mesma mensagem e oferta') e DOC-C08-008 ('Ofertas e cadastros 6' horas).</t>
        </is>
      </c>
      <c r="J529" s="17" t="inlineStr">
        <is>
          <t>strong</t>
        </is>
      </c>
      <c r="K529" s="17" t="inlineStr">
        <is>
          <t>0.85</t>
        </is>
      </c>
      <c r="L529" s="17" t="inlineStr">
        <is>
          <t>inference</t>
        </is>
      </c>
    </row>
    <row r="530">
      <c r="A530" s="17" t="inlineStr">
        <is>
          <t>EV-98b18ed3ce</t>
        </is>
      </c>
      <c r="B530" s="17" t="inlineStr">
        <is>
          <t>strategic_analysis</t>
        </is>
      </c>
      <c r="C530" s="17" t="inlineStr">
        <is>
          <t>r2</t>
        </is>
      </c>
      <c r="D530" s="18" t="inlineStr">
        <is>
          <t>A linha digital entra no lancamento com quatro produtos, dois formatos por titulo e dois canais de venda, contra 6 horas planejadas de ofertas e cadastros.</t>
        </is>
      </c>
      <c r="E530" s="17" t="inlineStr">
        <is>
          <t>SA-09B</t>
        </is>
      </c>
      <c r="F530" s="17" t="inlineStr">
        <is>
          <t>weakness</t>
        </is>
      </c>
      <c r="G530" s="17" t="inlineStr">
        <is>
          <t>ECO-05</t>
        </is>
      </c>
      <c r="H530" s="17" t="inlineStr">
        <is>
          <t>DOC-C08-008</t>
        </is>
      </c>
      <c r="I530" s="18" t="inlineStr">
        <is>
          <t>DOC-C09-011 (tres titulos, 'formato interativo + PDF complementar'), DOC-C09-013 (curso, 4 modulos), DOC-C09-016 ('A pagina propria e a Hotmart devem apontar para a mesma mensagem e oferta') e DOC-C08-008 ('Ofertas e cadastros 6' horas).</t>
        </is>
      </c>
      <c r="J530" s="17" t="inlineStr">
        <is>
          <t>strong</t>
        </is>
      </c>
      <c r="K530" s="17" t="inlineStr">
        <is>
          <t>0.85</t>
        </is>
      </c>
      <c r="L530" s="17" t="inlineStr">
        <is>
          <t>inference</t>
        </is>
      </c>
    </row>
    <row r="531">
      <c r="A531" s="17" t="inlineStr">
        <is>
          <t>EV-2689fd10ca</t>
        </is>
      </c>
      <c r="B531" s="17" t="inlineStr">
        <is>
          <t>strategic_analysis</t>
        </is>
      </c>
      <c r="C531" s="17" t="inlineStr">
        <is>
          <t>r2</t>
        </is>
      </c>
      <c r="D531" s="18" t="inlineStr">
        <is>
          <t>A capacidade de vencer no infoproduto e sustentada por espinha editorial propria e preco decidido, e limitada por producao ainda inexistente.</t>
        </is>
      </c>
      <c r="E531" s="17" t="inlineStr">
        <is>
          <t>SA-10B</t>
        </is>
      </c>
      <c r="F531" s="17" t="inlineStr">
        <is>
          <t>ability_to_win</t>
        </is>
      </c>
      <c r="G531" s="17" t="inlineStr">
        <is>
          <t>ECO-05</t>
        </is>
      </c>
      <c r="H531" s="17" t="inlineStr">
        <is>
          <t>DOC-C05-001</t>
        </is>
      </c>
      <c r="I531" s="18" t="inlineStr">
        <is>
          <t>A favor: 4E aplicado a todos os produtos, padrao de capitulo em 10 blocos e precos decididos (R$ 39,90 / R$ 97 / R$ 197) em DOC-C05-001. Contra: DOC-C09-013 lista 'descricao e promessa' e 'estrutura dos modulos' como itens ainda por fechar.</t>
        </is>
      </c>
      <c r="J531" s="17" t="inlineStr">
        <is>
          <t>moderate</t>
        </is>
      </c>
      <c r="K531" s="17" t="inlineStr">
        <is>
          <t>0.75</t>
        </is>
      </c>
      <c r="L531" s="17" t="inlineStr">
        <is>
          <t>inference</t>
        </is>
      </c>
    </row>
    <row r="532">
      <c r="A532" s="17" t="inlineStr">
        <is>
          <t>EV-b8045695c9</t>
        </is>
      </c>
      <c r="B532" s="17" t="inlineStr">
        <is>
          <t>strategic_analysis</t>
        </is>
      </c>
      <c r="C532" s="17" t="inlineStr">
        <is>
          <t>r2</t>
        </is>
      </c>
      <c r="D532" s="18" t="inlineStr">
        <is>
          <t>A capacidade de vencer no infoproduto e sustentada por espinha editorial propria e preco decidido, e limitada por producao ainda inexistente.</t>
        </is>
      </c>
      <c r="E532" s="17" t="inlineStr">
        <is>
          <t>SA-10B</t>
        </is>
      </c>
      <c r="F532" s="17" t="inlineStr">
        <is>
          <t>ability_to_win</t>
        </is>
      </c>
      <c r="G532" s="17" t="inlineStr">
        <is>
          <t>ECO-05</t>
        </is>
      </c>
      <c r="H532" s="17" t="inlineStr">
        <is>
          <t>DOC-C09-013</t>
        </is>
      </c>
      <c r="I532" s="18" t="inlineStr">
        <is>
          <t>A favor: 4E aplicado a todos os produtos, padrao de capitulo em 10 blocos e precos decididos (R$ 39,90 / R$ 97 / R$ 197) em DOC-C05-001. Contra: DOC-C09-013 lista 'descricao e promessa' e 'estrutura dos modulos' como itens ainda por fechar.</t>
        </is>
      </c>
      <c r="J532" s="17" t="inlineStr">
        <is>
          <t>moderate</t>
        </is>
      </c>
      <c r="K532" s="17" t="inlineStr">
        <is>
          <t>0.75</t>
        </is>
      </c>
      <c r="L532" s="17" t="inlineStr">
        <is>
          <t>inference</t>
        </is>
      </c>
    </row>
    <row r="533">
      <c r="A533" s="17" t="inlineStr">
        <is>
          <t>EV-48360de35f</t>
        </is>
      </c>
      <c r="B533" s="17" t="inlineStr">
        <is>
          <t>strategic_analysis</t>
        </is>
      </c>
      <c r="C533" s="17" t="inlineStr">
        <is>
          <t>r2</t>
        </is>
      </c>
      <c r="D533" s="18" t="inlineStr">
        <is>
          <t>Nao existe ICP dos livros digitais: os tres titulos sao descritos por papel editorial, nao por leitor.</t>
        </is>
      </c>
      <c r="E533" s="17" t="inlineStr">
        <is>
          <t>SA-04B</t>
        </is>
      </c>
      <c r="F533" s="17" t="inlineStr">
        <is>
          <t>icp</t>
        </is>
      </c>
      <c r="G533" s="17" t="inlineStr">
        <is>
          <t>ECO-06</t>
        </is>
      </c>
      <c r="H533" s="17" t="inlineStr">
        <is>
          <t>DOC-C09-011</t>
        </is>
      </c>
      <c r="I533" s="18" t="inlineStr">
        <is>
          <t>DOC-C09-011: 'Aplicando o TDAH Adulto - tutorial pratico | TDAH e Gestao de Riscos na Pratica - risco aplicado | Gerenciando o TDAH Adulto 360 - visao sistemica'; nenhuma linha descreve para quem cada titulo existe.</t>
        </is>
      </c>
      <c r="J533" s="17" t="inlineStr">
        <is>
          <t>strong</t>
        </is>
      </c>
      <c r="K533" s="17" t="inlineStr">
        <is>
          <t>0.85</t>
        </is>
      </c>
      <c r="L533" s="17" t="inlineStr">
        <is>
          <t>gap</t>
        </is>
      </c>
    </row>
    <row r="534">
      <c r="A534" s="17" t="inlineStr">
        <is>
          <t>EV-d7c6895fe7</t>
        </is>
      </c>
      <c r="B534" s="17" t="inlineStr">
        <is>
          <t>strategic_analysis</t>
        </is>
      </c>
      <c r="C534" s="17" t="inlineStr">
        <is>
          <t>r2</t>
        </is>
      </c>
      <c r="D534" s="18" t="inlineStr">
        <is>
          <t>A empresa posiciona os livros digitais como produto de entrada e aplicacao dentro da escada, e nao como produto principal.</t>
        </is>
      </c>
      <c r="E534" s="17" t="inlineStr">
        <is>
          <t>SA-08A</t>
        </is>
      </c>
      <c r="F534" s="17" t="inlineStr">
        <is>
          <t>company</t>
        </is>
      </c>
      <c r="G534" s="17" t="inlineStr">
        <is>
          <t>ECO-06</t>
        </is>
      </c>
      <c r="H534" s="17" t="inlineStr">
        <is>
          <t>DOC-C09-016</t>
        </is>
      </c>
      <c r="I534" s="18" t="inlineStr">
        <is>
          <t>DOC-C09-016, Papel no lancamento: 'Livros digitais funcionam como produto de entrada e aplicacao. Curso funciona como aplicacao guiada'; Ecossistema: 'os e-books sao recortes aplicados e aprofundamentos' do curso produto-mae.</t>
        </is>
      </c>
      <c r="J534" s="17" t="inlineStr">
        <is>
          <t>strong</t>
        </is>
      </c>
      <c r="K534" s="17" t="inlineStr">
        <is>
          <t>0.9</t>
        </is>
      </c>
      <c r="L534" s="17" t="inlineStr">
        <is>
          <t>fact</t>
        </is>
      </c>
    </row>
    <row r="535">
      <c r="A535" s="17" t="inlineStr">
        <is>
          <t>EV-f256f94081</t>
        </is>
      </c>
      <c r="B535" s="17" t="inlineStr">
        <is>
          <t>strategic_analysis</t>
        </is>
      </c>
      <c r="C535" s="17" t="inlineStr">
        <is>
          <t>r2</t>
        </is>
      </c>
      <c r="D535" s="18" t="inlineStr">
        <is>
          <t>A empresa posiciona os livros digitais como produto de entrada e aplicacao dentro da escada, e nao como produto principal.</t>
        </is>
      </c>
      <c r="E535" s="17" t="inlineStr">
        <is>
          <t>SA-08A</t>
        </is>
      </c>
      <c r="F535" s="17" t="inlineStr">
        <is>
          <t>company</t>
        </is>
      </c>
      <c r="G535" s="17" t="inlineStr">
        <is>
          <t>ECO-06</t>
        </is>
      </c>
      <c r="H535" s="17" t="inlineStr">
        <is>
          <t>DOC-C05-001</t>
        </is>
      </c>
      <c r="I535" s="18" t="inlineStr">
        <is>
          <t>DOC-C09-016, Papel no lancamento: 'Livros digitais funcionam como produto de entrada e aplicacao. Curso funciona como aplicacao guiada'; Ecossistema: 'os e-books sao recortes aplicados e aprofundamentos' do curso produto-mae.</t>
        </is>
      </c>
      <c r="J535" s="17" t="inlineStr">
        <is>
          <t>strong</t>
        </is>
      </c>
      <c r="K535" s="17" t="inlineStr">
        <is>
          <t>0.9</t>
        </is>
      </c>
      <c r="L535" s="17" t="inlineStr">
        <is>
          <t>fact</t>
        </is>
      </c>
    </row>
    <row r="536">
      <c r="A536" s="17" t="inlineStr">
        <is>
          <t>EV-9d2afb6ecc</t>
        </is>
      </c>
      <c r="B536" s="17" t="inlineStr">
        <is>
          <t>strategic_analysis</t>
        </is>
      </c>
      <c r="C536" s="17" t="inlineStr">
        <is>
          <t>r2</t>
        </is>
      </c>
      <c r="D536" s="18" t="inlineStr">
        <is>
          <t>A linha de livros tem microestrutura de capitulo padronizada em dez blocos, o que torna a producao repetivel.</t>
        </is>
      </c>
      <c r="E536" s="17" t="inlineStr">
        <is>
          <t>SA-09A</t>
        </is>
      </c>
      <c r="F536" s="17" t="inlineStr">
        <is>
          <t>strength</t>
        </is>
      </c>
      <c r="G536" s="17" t="inlineStr">
        <is>
          <t>ECO-06</t>
        </is>
      </c>
      <c r="H536" s="17" t="inlineStr">
        <is>
          <t>DOC-C05-001</t>
        </is>
      </c>
      <c r="I536" s="18" t="inlineStr">
        <is>
          <t>Ecossistema, 'Microestrutura obrigatoria de cada capitulo': '01 Situacao real | 02 Entenda em 2 minutos | 03 Mapa visual | 04 Por que isso acontece | 05 Na pratica | 06 Faca agora | 07 Ferramenta | 08 Interacao | 09 Evidencia | 10 Proximo passo'.</t>
        </is>
      </c>
      <c r="J536" s="17" t="inlineStr">
        <is>
          <t>strong</t>
        </is>
      </c>
      <c r="K536" s="17" t="inlineStr">
        <is>
          <t>0.9</t>
        </is>
      </c>
      <c r="L536" s="17" t="inlineStr">
        <is>
          <t>fact</t>
        </is>
      </c>
    </row>
    <row r="537">
      <c r="A537" s="17" t="inlineStr">
        <is>
          <t>EV-bb7df5e355</t>
        </is>
      </c>
      <c r="B537" s="17" t="inlineStr">
        <is>
          <t>strategic_analysis</t>
        </is>
      </c>
      <c r="C537" s="17" t="inlineStr">
        <is>
          <t>r2</t>
        </is>
      </c>
      <c r="D537" s="18" t="inlineStr">
        <is>
          <t>A linha de livros tem microestrutura de capitulo padronizada em dez blocos, o que torna a producao repetivel.</t>
        </is>
      </c>
      <c r="E537" s="17" t="inlineStr">
        <is>
          <t>SA-09A</t>
        </is>
      </c>
      <c r="F537" s="17" t="inlineStr">
        <is>
          <t>strength</t>
        </is>
      </c>
      <c r="G537" s="17" t="inlineStr">
        <is>
          <t>ECO-06</t>
        </is>
      </c>
      <c r="H537" s="17" t="inlineStr">
        <is>
          <t>DOC-C09-011</t>
        </is>
      </c>
      <c r="I537" s="18" t="inlineStr">
        <is>
          <t>Ecossistema, 'Microestrutura obrigatoria de cada capitulo': '01 Situacao real | 02 Entenda em 2 minutos | 03 Mapa visual | 04 Por que isso acontece | 05 Na pratica | 06 Faca agora | 07 Ferramenta | 08 Interacao | 09 Evidencia | 10 Proximo passo'.</t>
        </is>
      </c>
      <c r="J537" s="17" t="inlineStr">
        <is>
          <t>strong</t>
        </is>
      </c>
      <c r="K537" s="17" t="inlineStr">
        <is>
          <t>0.9</t>
        </is>
      </c>
      <c r="L537" s="17" t="inlineStr">
        <is>
          <t>fact</t>
        </is>
      </c>
    </row>
    <row r="538">
      <c r="A538" s="17" t="inlineStr">
        <is>
          <t>EV-386c0dc229</t>
        </is>
      </c>
      <c r="B538" s="17" t="inlineStr">
        <is>
          <t>strategic_analysis</t>
        </is>
      </c>
      <c r="C538" s="17" t="inlineStr">
        <is>
          <t>r2</t>
        </is>
      </c>
      <c r="D538" s="18" t="inlineStr">
        <is>
          <t>O maior risco da linha de livros e prometer catalogo maior do que o que existe, ja materializado em peca visual.</t>
        </is>
      </c>
      <c r="E538" s="17" t="inlineStr">
        <is>
          <t>SA-09D</t>
        </is>
      </c>
      <c r="F538" s="17" t="inlineStr">
        <is>
          <t>threat</t>
        </is>
      </c>
      <c r="G538" s="17" t="inlineStr">
        <is>
          <t>ECO-06</t>
        </is>
      </c>
      <c r="H538" s="17" t="inlineStr">
        <is>
          <t>DOC-C13-005</t>
        </is>
      </c>
      <c r="I538" s="18" t="inlineStr">
        <is>
          <t>DOC-C13-005 exibe cinco capas e cinco categorias; DOC-C09-011 tem tres titulos em estado 'estruturar cadastro'; DOC-C13-004 adverte: 'Estas imagens sao referencias de direcao visual e produto... nao confunda referencia com material aprovado para publicacao'.</t>
        </is>
      </c>
      <c r="J538" s="17" t="inlineStr">
        <is>
          <t>strong</t>
        </is>
      </c>
      <c r="K538" s="17" t="inlineStr">
        <is>
          <t>0.85</t>
        </is>
      </c>
      <c r="L538" s="17" t="inlineStr">
        <is>
          <t>fact</t>
        </is>
      </c>
    </row>
    <row r="539">
      <c r="A539" s="17" t="inlineStr">
        <is>
          <t>EV-f3244c46d9</t>
        </is>
      </c>
      <c r="B539" s="17" t="inlineStr">
        <is>
          <t>strategic_analysis</t>
        </is>
      </c>
      <c r="C539" s="17" t="inlineStr">
        <is>
          <t>r2</t>
        </is>
      </c>
      <c r="D539" s="18" t="inlineStr">
        <is>
          <t>O maior risco da linha de livros e prometer catalogo maior do que o que existe, ja materializado em peca visual.</t>
        </is>
      </c>
      <c r="E539" s="17" t="inlineStr">
        <is>
          <t>SA-09D</t>
        </is>
      </c>
      <c r="F539" s="17" t="inlineStr">
        <is>
          <t>threat</t>
        </is>
      </c>
      <c r="G539" s="17" t="inlineStr">
        <is>
          <t>ECO-06</t>
        </is>
      </c>
      <c r="H539" s="17" t="inlineStr">
        <is>
          <t>DOC-C09-011</t>
        </is>
      </c>
      <c r="I539" s="18" t="inlineStr">
        <is>
          <t>DOC-C13-005 exibe cinco capas e cinco categorias; DOC-C09-011 tem tres titulos em estado 'estruturar cadastro'; DOC-C13-004 adverte: 'Estas imagens sao referencias de direcao visual e produto... nao confunda referencia com material aprovado para publicacao'.</t>
        </is>
      </c>
      <c r="J539" s="17" t="inlineStr">
        <is>
          <t>strong</t>
        </is>
      </c>
      <c r="K539" s="17" t="inlineStr">
        <is>
          <t>0.85</t>
        </is>
      </c>
      <c r="L539" s="17" t="inlineStr">
        <is>
          <t>fact</t>
        </is>
      </c>
    </row>
    <row r="540">
      <c r="A540" s="17" t="inlineStr">
        <is>
          <t>EV-9de547fe52</t>
        </is>
      </c>
      <c r="B540" s="17" t="inlineStr">
        <is>
          <t>strategic_analysis</t>
        </is>
      </c>
      <c r="C540" s="17" t="inlineStr">
        <is>
          <t>r2</t>
        </is>
      </c>
      <c r="D540" s="18" t="inlineStr">
        <is>
          <t>O maior risco da linha de livros e prometer catalogo maior do que o que existe, ja materializado em peca visual.</t>
        </is>
      </c>
      <c r="E540" s="17" t="inlineStr">
        <is>
          <t>SA-09D</t>
        </is>
      </c>
      <c r="F540" s="17" t="inlineStr">
        <is>
          <t>threat</t>
        </is>
      </c>
      <c r="G540" s="17" t="inlineStr">
        <is>
          <t>ECO-06</t>
        </is>
      </c>
      <c r="H540" s="17" t="inlineStr">
        <is>
          <t>DOC-C13-004</t>
        </is>
      </c>
      <c r="I540" s="18" t="inlineStr">
        <is>
          <t>DOC-C13-005 exibe cinco capas e cinco categorias; DOC-C09-011 tem tres titulos em estado 'estruturar cadastro'; DOC-C13-004 adverte: 'Estas imagens sao referencias de direcao visual e produto... nao confunda referencia com material aprovado para publicacao'.</t>
        </is>
      </c>
      <c r="J540" s="17" t="inlineStr">
        <is>
          <t>strong</t>
        </is>
      </c>
      <c r="K540" s="17" t="inlineStr">
        <is>
          <t>0.85</t>
        </is>
      </c>
      <c r="L540" s="17" t="inlineStr">
        <is>
          <t>fact</t>
        </is>
      </c>
    </row>
    <row r="541">
      <c r="A541" s="17" t="inlineStr">
        <is>
          <t>EV-c48b187cc9</t>
        </is>
      </c>
      <c r="B541" s="17" t="inlineStr">
        <is>
          <t>strategic_analysis</t>
        </is>
      </c>
      <c r="C541" s="17" t="inlineStr">
        <is>
          <t>r2</t>
        </is>
      </c>
      <c r="D541" s="18" t="inlineStr">
        <is>
          <t>Nao ha dados de atratividade do mercado de conteudo: nem custo por seguidor, nem alcance de referencia, nem benchmark de canal.</t>
        </is>
      </c>
      <c r="E541" s="17" t="inlineStr">
        <is>
          <t>SA-10A</t>
        </is>
      </c>
      <c r="F541" s="17" t="inlineStr">
        <is>
          <t>market_attractiveness</t>
        </is>
      </c>
      <c r="G541" s="17" t="inlineStr">
        <is>
          <t>ECO-08</t>
        </is>
      </c>
      <c r="H541" s="17" t="inlineStr">
        <is>
          <t>DOC-C14-004</t>
        </is>
      </c>
      <c r="I541" s="18" t="inlineStr">
        <is>
          <t>As notas de publicacao (DOC-C14-004, DOC-C14-005, DOC-C14-006) tem apenas tarefa e campo Evidencia; a agenda mestra (DOC-C14-007) tem todas as datas como 'preencher'; o BMC registra '% geral nao informado'.</t>
        </is>
      </c>
      <c r="J541" s="17" t="inlineStr">
        <is>
          <t>strong</t>
        </is>
      </c>
      <c r="K541" s="17" t="inlineStr">
        <is>
          <t>0.85</t>
        </is>
      </c>
      <c r="L541" s="17" t="inlineStr">
        <is>
          <t>gap</t>
        </is>
      </c>
    </row>
    <row r="542">
      <c r="A542" s="17" t="inlineStr">
        <is>
          <t>EV-702e9eb709</t>
        </is>
      </c>
      <c r="B542" s="17" t="inlineStr">
        <is>
          <t>strategic_analysis</t>
        </is>
      </c>
      <c r="C542" s="17" t="inlineStr">
        <is>
          <t>r2</t>
        </is>
      </c>
      <c r="D542" s="18" t="inlineStr">
        <is>
          <t>Nao ha dados de atratividade do mercado de conteudo: nem custo por seguidor, nem alcance de referencia, nem benchmark de canal.</t>
        </is>
      </c>
      <c r="E542" s="17" t="inlineStr">
        <is>
          <t>SA-10A</t>
        </is>
      </c>
      <c r="F542" s="17" t="inlineStr">
        <is>
          <t>market_attractiveness</t>
        </is>
      </c>
      <c r="G542" s="17" t="inlineStr">
        <is>
          <t>ECO-08</t>
        </is>
      </c>
      <c r="H542" s="17" t="inlineStr">
        <is>
          <t>DOC-C14-005</t>
        </is>
      </c>
      <c r="I542" s="18" t="inlineStr">
        <is>
          <t>As notas de publicacao (DOC-C14-004, DOC-C14-005, DOC-C14-006) tem apenas tarefa e campo Evidencia; a agenda mestra (DOC-C14-007) tem todas as datas como 'preencher'; o BMC registra '% geral nao informado'.</t>
        </is>
      </c>
      <c r="J542" s="17" t="inlineStr">
        <is>
          <t>strong</t>
        </is>
      </c>
      <c r="K542" s="17" t="inlineStr">
        <is>
          <t>0.85</t>
        </is>
      </c>
      <c r="L542" s="17" t="inlineStr">
        <is>
          <t>gap</t>
        </is>
      </c>
    </row>
    <row r="543">
      <c r="A543" s="17" t="inlineStr">
        <is>
          <t>EV-5b646a472e</t>
        </is>
      </c>
      <c r="B543" s="17" t="inlineStr">
        <is>
          <t>strategic_analysis</t>
        </is>
      </c>
      <c r="C543" s="17" t="inlineStr">
        <is>
          <t>r2</t>
        </is>
      </c>
      <c r="D543" s="18" t="inlineStr">
        <is>
          <t>Nao ha dados de atratividade do mercado de conteudo: nem custo por seguidor, nem alcance de referencia, nem benchmark de canal.</t>
        </is>
      </c>
      <c r="E543" s="17" t="inlineStr">
        <is>
          <t>SA-10A</t>
        </is>
      </c>
      <c r="F543" s="17" t="inlineStr">
        <is>
          <t>market_attractiveness</t>
        </is>
      </c>
      <c r="G543" s="17" t="inlineStr">
        <is>
          <t>ECO-08</t>
        </is>
      </c>
      <c r="H543" s="17" t="inlineStr">
        <is>
          <t>DOC-C14-006</t>
        </is>
      </c>
      <c r="I543" s="18" t="inlineStr">
        <is>
          <t>As notas de publicacao (DOC-C14-004, DOC-C14-005, DOC-C14-006) tem apenas tarefa e campo Evidencia; a agenda mestra (DOC-C14-007) tem todas as datas como 'preencher'; o BMC registra '% geral nao informado'.</t>
        </is>
      </c>
      <c r="J543" s="17" t="inlineStr">
        <is>
          <t>strong</t>
        </is>
      </c>
      <c r="K543" s="17" t="inlineStr">
        <is>
          <t>0.85</t>
        </is>
      </c>
      <c r="L543" s="17" t="inlineStr">
        <is>
          <t>gap</t>
        </is>
      </c>
    </row>
    <row r="544">
      <c r="A544" s="17" t="inlineStr">
        <is>
          <t>EV-0c8313a3f8</t>
        </is>
      </c>
      <c r="B544" s="17" t="inlineStr">
        <is>
          <t>strategic_analysis</t>
        </is>
      </c>
      <c r="C544" s="17" t="inlineStr">
        <is>
          <t>r2</t>
        </is>
      </c>
      <c r="D544" s="18" t="inlineStr">
        <is>
          <t>Nao ha dados de atratividade do mercado de conteudo: nem custo por seguidor, nem alcance de referencia, nem benchmark de canal.</t>
        </is>
      </c>
      <c r="E544" s="17" t="inlineStr">
        <is>
          <t>SA-10A</t>
        </is>
      </c>
      <c r="F544" s="17" t="inlineStr">
        <is>
          <t>market_attractiveness</t>
        </is>
      </c>
      <c r="G544" s="17" t="inlineStr">
        <is>
          <t>ECO-08</t>
        </is>
      </c>
      <c r="H544" s="17" t="inlineStr">
        <is>
          <t>DOC-C14-007</t>
        </is>
      </c>
      <c r="I544" s="18" t="inlineStr">
        <is>
          <t>As notas de publicacao (DOC-C14-004, DOC-C14-005, DOC-C14-006) tem apenas tarefa e campo Evidencia; a agenda mestra (DOC-C14-007) tem todas as datas como 'preencher'; o BMC registra '% geral nao informado'.</t>
        </is>
      </c>
      <c r="J544" s="17" t="inlineStr">
        <is>
          <t>strong</t>
        </is>
      </c>
      <c r="K544" s="17" t="inlineStr">
        <is>
          <t>0.85</t>
        </is>
      </c>
      <c r="L544" s="17" t="inlineStr">
        <is>
          <t>gap</t>
        </is>
      </c>
    </row>
    <row r="545">
      <c r="A545" s="17" t="inlineStr">
        <is>
          <t>EV-99ab7fef51</t>
        </is>
      </c>
      <c r="B545" s="17" t="inlineStr">
        <is>
          <t>strategic_analysis</t>
        </is>
      </c>
      <c r="C545" s="17" t="inlineStr">
        <is>
          <t>r2</t>
        </is>
      </c>
      <c r="D545" s="18" t="inlineStr">
        <is>
          <t>Nao ha dados de atratividade do mercado de conteudo: nem custo por seguidor, nem alcance de referencia, nem benchmark de canal.</t>
        </is>
      </c>
      <c r="E545" s="17" t="inlineStr">
        <is>
          <t>SA-10A</t>
        </is>
      </c>
      <c r="F545" s="17" t="inlineStr">
        <is>
          <t>market_attractiveness</t>
        </is>
      </c>
      <c r="G545" s="17" t="inlineStr">
        <is>
          <t>ECO-08</t>
        </is>
      </c>
      <c r="H545" s="17" t="inlineStr">
        <is>
          <t>DOC-C02-039</t>
        </is>
      </c>
      <c r="I545" s="18" t="inlineStr">
        <is>
          <t>As notas de publicacao (DOC-C14-004, DOC-C14-005, DOC-C14-006) tem apenas tarefa e campo Evidencia; a agenda mestra (DOC-C14-007) tem todas as datas como 'preencher'; o BMC registra '% geral nao informado'.</t>
        </is>
      </c>
      <c r="J545" s="17" t="inlineStr">
        <is>
          <t>strong</t>
        </is>
      </c>
      <c r="K545" s="17" t="inlineStr">
        <is>
          <t>0.85</t>
        </is>
      </c>
      <c r="L545" s="17" t="inlineStr">
        <is>
          <t>gap</t>
        </is>
      </c>
    </row>
    <row r="546">
      <c r="A546" s="17" t="inlineStr">
        <is>
          <t>EV-31c0822be9</t>
        </is>
      </c>
      <c r="B546" s="17" t="inlineStr">
        <is>
          <t>strategic_analysis</t>
        </is>
      </c>
      <c r="C546" s="17" t="inlineStr">
        <is>
          <t>r2</t>
        </is>
      </c>
      <c r="D546" s="18" t="inlineStr">
        <is>
          <t>A maior oportunidade do ecossistema creator e o efeito composto de uma peca canonica que alimenta simultaneamente biblioteca, e-book e curso.</t>
        </is>
      </c>
      <c r="E546" s="17" t="inlineStr">
        <is>
          <t>SA-09C</t>
        </is>
      </c>
      <c r="F546" s="17" t="inlineStr">
        <is>
          <t>opportunity</t>
        </is>
      </c>
      <c r="G546" s="17" t="inlineStr">
        <is>
          <t>ECO-08</t>
        </is>
      </c>
      <c r="H546" s="17" t="inlineStr">
        <is>
          <t>DOC-C05-001</t>
        </is>
      </c>
      <c r="I546" s="18" t="inlineStr">
        <is>
          <t>Ecossistema, cadeia unica de valor editorial: '05 Artigo canonico SSOT editorial ... 10 E-book Aplicacao estruturada | 11 Curso Aplicacao guiada | 13 Caso e evidencia Voltam a materia-prima editorial'; e '11 Trecho reaproveitavel no e-book/curso' entre as doze projecoes.</t>
        </is>
      </c>
      <c r="J546" s="17" t="inlineStr">
        <is>
          <t>strong</t>
        </is>
      </c>
      <c r="K546" s="17" t="inlineStr">
        <is>
          <t>0.85</t>
        </is>
      </c>
      <c r="L546" s="17" t="inlineStr">
        <is>
          <t>fact</t>
        </is>
      </c>
    </row>
    <row r="547">
      <c r="A547" s="17" t="inlineStr">
        <is>
          <t>EV-c8bea03a41</t>
        </is>
      </c>
      <c r="B547" s="17" t="inlineStr">
        <is>
          <t>strategic_analysis</t>
        </is>
      </c>
      <c r="C547" s="17" t="inlineStr">
        <is>
          <t>r2</t>
        </is>
      </c>
      <c r="D547" s="18" t="inlineStr">
        <is>
          <t>O relacionamento com a audiencia esta definido por acoes de baixo compromisso antes de qualquer oferta.</t>
        </is>
      </c>
      <c r="E547" s="17" t="inlineStr">
        <is>
          <t>SA-08B</t>
        </is>
      </c>
      <c r="F547" s="17" t="inlineStr">
        <is>
          <t>customer</t>
        </is>
      </c>
      <c r="G547" s="17" t="inlineStr">
        <is>
          <t>ECO-08</t>
        </is>
      </c>
      <c r="H547" s="17" t="inlineStr">
        <is>
          <t>DOC-C02-039</t>
        </is>
      </c>
      <c r="I547" s="18" t="inlineStr">
        <is>
          <t>BMC, Relacao com audiencia: 'Ler, explorar, assinar e baixar o Mapa de Risco Cognitivo; medir interesse antes de introduzir o EXECUTAR'; texto 2.txt: 'com CTA para ler, explorar, assinar ou baixar - nao para comprar/conhecer o EXECUTAR'.</t>
        </is>
      </c>
      <c r="J547" s="17" t="inlineStr">
        <is>
          <t>strong</t>
        </is>
      </c>
      <c r="K547" s="17" t="inlineStr">
        <is>
          <t>0.9</t>
        </is>
      </c>
      <c r="L547" s="17" t="inlineStr">
        <is>
          <t>fact</t>
        </is>
      </c>
    </row>
    <row r="548">
      <c r="A548" s="17" t="inlineStr">
        <is>
          <t>EV-1509c16684</t>
        </is>
      </c>
      <c r="B548" s="17" t="inlineStr">
        <is>
          <t>strategic_analysis</t>
        </is>
      </c>
      <c r="C548" s="17" t="inlineStr">
        <is>
          <t>r2</t>
        </is>
      </c>
      <c r="D548" s="18" t="inlineStr">
        <is>
          <t>O relacionamento com a audiencia esta definido por acoes de baixo compromisso antes de qualquer oferta.</t>
        </is>
      </c>
      <c r="E548" s="17" t="inlineStr">
        <is>
          <t>SA-08B</t>
        </is>
      </c>
      <c r="F548" s="17" t="inlineStr">
        <is>
          <t>customer</t>
        </is>
      </c>
      <c r="G548" s="17" t="inlineStr">
        <is>
          <t>ECO-08</t>
        </is>
      </c>
      <c r="H548" s="17" t="inlineStr">
        <is>
          <t>DOC-C02-042</t>
        </is>
      </c>
      <c r="I548" s="18" t="inlineStr">
        <is>
          <t>BMC, Relacao com audiencia: 'Ler, explorar, assinar e baixar o Mapa de Risco Cognitivo; medir interesse antes de introduzir o EXECUTAR'; texto 2.txt: 'com CTA para ler, explorar, assinar ou baixar - nao para comprar/conhecer o EXECUTAR'.</t>
        </is>
      </c>
      <c r="J548" s="17" t="inlineStr">
        <is>
          <t>strong</t>
        </is>
      </c>
      <c r="K548" s="17" t="inlineStr">
        <is>
          <t>0.9</t>
        </is>
      </c>
      <c r="L548" s="17" t="inlineStr">
        <is>
          <t>fact</t>
        </is>
      </c>
    </row>
    <row r="549">
      <c r="A549" s="17" t="inlineStr">
        <is>
          <t>EV-1deac821c8</t>
        </is>
      </c>
      <c r="B549" s="17" t="inlineStr">
        <is>
          <t>formulario</t>
        </is>
      </c>
      <c r="C549" s="17" t="inlineStr">
        <is>
          <t>dia1-2</t>
        </is>
      </c>
      <c r="D549" s="17" t="inlineStr">
        <is>
          <t>1.1 Problema central</t>
        </is>
      </c>
      <c r="E549" s="17" t="n"/>
      <c r="F549" s="17" t="inlineStr">
        <is>
          <t>NEGÓCIO &amp; GTM</t>
        </is>
      </c>
      <c r="G549" s="17" t="inlineStr">
        <is>
          <t>TRANSVERSAL (detalhado por ECO-01, ECO-03 e ECO-02)</t>
        </is>
      </c>
      <c r="H549" s="17" t="inlineStr">
        <is>
          <t>DOC-C05-001</t>
        </is>
      </c>
      <c r="I549" s="18" t="inlineStr">
        <is>
          <t>DOC-C05-001 (seção “Corpo”, linha Problema): “Paralisia por excesso, dificuldade de iniciação das tarefas, não linearidade de execução, troca de contexto cognitivo, retrabalho por não respeitar cadeia única de valor e dependências, memória de trabalho limitada, ausência de processos padronizados e múltiplas fontes de execução e plataformas.” Perspectiva do usuário no mesmo documento: “Perco dinheiro e oportunidades por atrasos e desorganização. […] O momento de maior ansiedade e aflição são os primeiros 30 minutos iniciais, pois não sei onde estava ontem, o que devo fazer agora e como sei que terminei.” | DOC-C07-009 (decisão PROD-03): “Definir a dor central como dificuldade de transformar intenção em comportamento organizado ao longo do tempo, evitando o posicionamento genérico de ‘produtividade’.” | DOC-C01-005: “Eu evitaria usar não execução como problema principal. É estreito demais.” e “A distância entre intenção e execução diante de vulnerabilidades cognitivas e demandas reais.” | DOC-C02-039 (BMC, célula Problema): “Apresentar o EXECUTAR cedo demais pode reduzir a credibilidade da investigação e impedir distinguir interesse genuíno pelo problema de interesse no produto.”</t>
        </is>
      </c>
      <c r="J549" s="17" t="n"/>
      <c r="K549" s="17" t="inlineStr">
        <is>
          <t>alta</t>
        </is>
      </c>
      <c r="L549" s="17" t="inlineStr">
        <is>
          <t>preenchido</t>
        </is>
      </c>
    </row>
    <row r="550">
      <c r="A550" s="17" t="inlineStr">
        <is>
          <t>EV-018c2900c2</t>
        </is>
      </c>
      <c r="B550" s="17" t="inlineStr">
        <is>
          <t>formulario</t>
        </is>
      </c>
      <c r="C550" s="17" t="inlineStr">
        <is>
          <t>dia1-2</t>
        </is>
      </c>
      <c r="D550" s="17" t="inlineStr">
        <is>
          <t>1.1 Problema central</t>
        </is>
      </c>
      <c r="E550" s="17" t="n"/>
      <c r="F550" s="17" t="inlineStr">
        <is>
          <t>NEGÓCIO &amp; GTM</t>
        </is>
      </c>
      <c r="G550" s="17" t="inlineStr">
        <is>
          <t>TRANSVERSAL (detalhado por ECO-01, ECO-03 e ECO-02)</t>
        </is>
      </c>
      <c r="H550" s="17" t="inlineStr">
        <is>
          <t>DOC-C07-009</t>
        </is>
      </c>
      <c r="I550" s="18" t="inlineStr">
        <is>
          <t>DOC-C05-001 (seção “Corpo”, linha Problema): “Paralisia por excesso, dificuldade de iniciação das tarefas, não linearidade de execução, troca de contexto cognitivo, retrabalho por não respeitar cadeia única de valor e dependências, memória de trabalho limitada, ausência de processos padronizados e múltiplas fontes de execução e plataformas.” Perspectiva do usuário no mesmo documento: “Perco dinheiro e oportunidades por atrasos e desorganização. […] O momento de maior ansiedade e aflição são os primeiros 30 minutos iniciais, pois não sei onde estava ontem, o que devo fazer agora e como sei que terminei.” | DOC-C07-009 (decisão PROD-03): “Definir a dor central como dificuldade de transformar intenção em comportamento organizado ao longo do tempo, evitando o posicionamento genérico de ‘produtividade’.” | DOC-C01-005: “Eu evitaria usar não execução como problema principal. É estreito demais.” e “A distância entre intenção e execução diante de vulnerabilidades cognitivas e demandas reais.” | DOC-C02-039 (BMC, célula Problema): “Apresentar o EXECUTAR cedo demais pode reduzir a credibilidade da investigação e impedir distinguir interesse genuíno pelo problema de interesse no produto.”</t>
        </is>
      </c>
      <c r="J550" s="17" t="n"/>
      <c r="K550" s="17" t="inlineStr">
        <is>
          <t>alta</t>
        </is>
      </c>
      <c r="L550" s="17" t="inlineStr">
        <is>
          <t>preenchido</t>
        </is>
      </c>
    </row>
    <row r="551">
      <c r="A551" s="17" t="inlineStr">
        <is>
          <t>EV-98299e07d5</t>
        </is>
      </c>
      <c r="B551" s="17" t="inlineStr">
        <is>
          <t>formulario</t>
        </is>
      </c>
      <c r="C551" s="17" t="inlineStr">
        <is>
          <t>dia1-2</t>
        </is>
      </c>
      <c r="D551" s="17" t="inlineStr">
        <is>
          <t>1.1 Problema central</t>
        </is>
      </c>
      <c r="E551" s="17" t="n"/>
      <c r="F551" s="17" t="inlineStr">
        <is>
          <t>NEGÓCIO &amp; GTM</t>
        </is>
      </c>
      <c r="G551" s="17" t="inlineStr">
        <is>
          <t>TRANSVERSAL (detalhado por ECO-01, ECO-03 e ECO-02)</t>
        </is>
      </c>
      <c r="H551" s="17" t="inlineStr">
        <is>
          <t>DOC-C01-005</t>
        </is>
      </c>
      <c r="I551" s="18" t="inlineStr">
        <is>
          <t>DOC-C05-001 (seção “Corpo”, linha Problema): “Paralisia por excesso, dificuldade de iniciação das tarefas, não linearidade de execução, troca de contexto cognitivo, retrabalho por não respeitar cadeia única de valor e dependências, memória de trabalho limitada, ausência de processos padronizados e múltiplas fontes de execução e plataformas.” Perspectiva do usuário no mesmo documento: “Perco dinheiro e oportunidades por atrasos e desorganização. […] O momento de maior ansiedade e aflição são os primeiros 30 minutos iniciais, pois não sei onde estava ontem, o que devo fazer agora e como sei que terminei.” | DOC-C07-009 (decisão PROD-03): “Definir a dor central como dificuldade de transformar intenção em comportamento organizado ao longo do tempo, evitando o posicionamento genérico de ‘produtividade’.” | DOC-C01-005: “Eu evitaria usar não execução como problema principal. É estreito demais.” e “A distância entre intenção e execução diante de vulnerabilidades cognitivas e demandas reais.” | DOC-C02-039 (BMC, célula Problema): “Apresentar o EXECUTAR cedo demais pode reduzir a credibilidade da investigação e impedir distinguir interesse genuíno pelo problema de interesse no produto.”</t>
        </is>
      </c>
      <c r="J551" s="17" t="n"/>
      <c r="K551" s="17" t="inlineStr">
        <is>
          <t>alta</t>
        </is>
      </c>
      <c r="L551" s="17" t="inlineStr">
        <is>
          <t>preenchido</t>
        </is>
      </c>
    </row>
    <row r="552">
      <c r="A552" s="17" t="inlineStr">
        <is>
          <t>EV-e468f3d947</t>
        </is>
      </c>
      <c r="B552" s="17" t="inlineStr">
        <is>
          <t>formulario</t>
        </is>
      </c>
      <c r="C552" s="17" t="inlineStr">
        <is>
          <t>dia1-2</t>
        </is>
      </c>
      <c r="D552" s="17" t="inlineStr">
        <is>
          <t>1.1 Problema central</t>
        </is>
      </c>
      <c r="E552" s="17" t="n"/>
      <c r="F552" s="17" t="inlineStr">
        <is>
          <t>NEGÓCIO &amp; GTM</t>
        </is>
      </c>
      <c r="G552" s="17" t="inlineStr">
        <is>
          <t>TRANSVERSAL (detalhado por ECO-01, ECO-03 e ECO-02)</t>
        </is>
      </c>
      <c r="H552" s="17" t="inlineStr">
        <is>
          <t>DOC-C02-039</t>
        </is>
      </c>
      <c r="I552" s="18" t="inlineStr">
        <is>
          <t>DOC-C05-001 (seção “Corpo”, linha Problema): “Paralisia por excesso, dificuldade de iniciação das tarefas, não linearidade de execução, troca de contexto cognitivo, retrabalho por não respeitar cadeia única de valor e dependências, memória de trabalho limitada, ausência de processos padronizados e múltiplas fontes de execução e plataformas.” Perspectiva do usuário no mesmo documento: “Perco dinheiro e oportunidades por atrasos e desorganização. […] O momento de maior ansiedade e aflição são os primeiros 30 minutos iniciais, pois não sei onde estava ontem, o que devo fazer agora e como sei que terminei.” | DOC-C07-009 (decisão PROD-03): “Definir a dor central como dificuldade de transformar intenção em comportamento organizado ao longo do tempo, evitando o posicionamento genérico de ‘produtividade’.” | DOC-C01-005: “Eu evitaria usar não execução como problema principal. É estreito demais.” e “A distância entre intenção e execução diante de vulnerabilidades cognitivas e demandas reais.” | DOC-C02-039 (BMC, célula Problema): “Apresentar o EXECUTAR cedo demais pode reduzir a credibilidade da investigação e impedir distinguir interesse genuíno pelo problema de interesse no produto.”</t>
        </is>
      </c>
      <c r="J552" s="17" t="n"/>
      <c r="K552" s="17" t="inlineStr">
        <is>
          <t>alta</t>
        </is>
      </c>
      <c r="L552" s="17" t="inlineStr">
        <is>
          <t>preenchido</t>
        </is>
      </c>
    </row>
    <row r="553">
      <c r="A553" s="17" t="inlineStr">
        <is>
          <t>EV-7073f874fd</t>
        </is>
      </c>
      <c r="B553" s="17" t="inlineStr">
        <is>
          <t>formulario</t>
        </is>
      </c>
      <c r="C553" s="17" t="inlineStr">
        <is>
          <t>dia1-2</t>
        </is>
      </c>
      <c r="D553" s="17" t="inlineStr">
        <is>
          <t>1.1 Problema central</t>
        </is>
      </c>
      <c r="E553" s="17" t="n"/>
      <c r="F553" s="17" t="inlineStr">
        <is>
          <t>NEGÓCIO &amp; GTM</t>
        </is>
      </c>
      <c r="G553" s="17" t="inlineStr">
        <is>
          <t>TRANSVERSAL (detalhado por ECO-01, ECO-03 e ECO-02)</t>
        </is>
      </c>
      <c r="H553" s="17" t="inlineStr">
        <is>
          <t>DOC-C07-002</t>
        </is>
      </c>
      <c r="I553" s="18" t="inlineStr">
        <is>
          <t>DOC-C05-001 (seção “Corpo”, linha Problema): “Paralisia por excesso, dificuldade de iniciação das tarefas, não linearidade de execução, troca de contexto cognitivo, retrabalho por não respeitar cadeia única de valor e dependências, memória de trabalho limitada, ausência de processos padronizados e múltiplas fontes de execução e plataformas.” Perspectiva do usuário no mesmo documento: “Perco dinheiro e oportunidades por atrasos e desorganização. […] O momento de maior ansiedade e aflição são os primeiros 30 minutos iniciais, pois não sei onde estava ontem, o que devo fazer agora e como sei que terminei.” | DOC-C07-009 (decisão PROD-03): “Definir a dor central como dificuldade de transformar intenção em comportamento organizado ao longo do tempo, evitando o posicionamento genérico de ‘produtividade’.” | DOC-C01-005: “Eu evitaria usar não execução como problema principal. É estreito demais.” e “A distância entre intenção e execução diante de vulnerabilidades cognitivas e demandas reais.” | DOC-C02-039 (BMC, célula Problema): “Apresentar o EXECUTAR cedo demais pode reduzir a credibilidade da investigação e impedir distinguir interesse genuíno pelo problema de interesse no produto.”</t>
        </is>
      </c>
      <c r="J553" s="17" t="n"/>
      <c r="K553" s="17" t="inlineStr">
        <is>
          <t>alta</t>
        </is>
      </c>
      <c r="L553" s="17" t="inlineStr">
        <is>
          <t>preenchido</t>
        </is>
      </c>
    </row>
    <row r="554">
      <c r="A554" s="17" t="inlineStr">
        <is>
          <t>EV-7ed21435c5</t>
        </is>
      </c>
      <c r="B554" s="17" t="inlineStr">
        <is>
          <t>formulario</t>
        </is>
      </c>
      <c r="C554" s="17" t="inlineStr">
        <is>
          <t>dia1-2</t>
        </is>
      </c>
      <c r="D554" s="17" t="inlineStr">
        <is>
          <t>1.1 Problema central</t>
        </is>
      </c>
      <c r="E554" s="17" t="n"/>
      <c r="F554" s="17" t="inlineStr">
        <is>
          <t>NEGÓCIO &amp; GTM</t>
        </is>
      </c>
      <c r="G554" s="17" t="inlineStr">
        <is>
          <t>TRANSVERSAL (detalhado por ECO-01, ECO-03 e ECO-02)</t>
        </is>
      </c>
      <c r="H554" s="17" t="inlineStr">
        <is>
          <t>DOC-C07-010</t>
        </is>
      </c>
      <c r="I554" s="18" t="inlineStr">
        <is>
          <t>DOC-C05-001 (seção “Corpo”, linha Problema): “Paralisia por excesso, dificuldade de iniciação das tarefas, não linearidade de execução, troca de contexto cognitivo, retrabalho por não respeitar cadeia única de valor e dependências, memória de trabalho limitada, ausência de processos padronizados e múltiplas fontes de execução e plataformas.” Perspectiva do usuário no mesmo documento: “Perco dinheiro e oportunidades por atrasos e desorganização. […] O momento de maior ansiedade e aflição são os primeiros 30 minutos iniciais, pois não sei onde estava ontem, o que devo fazer agora e como sei que terminei.” | DOC-C07-009 (decisão PROD-03): “Definir a dor central como dificuldade de transformar intenção em comportamento organizado ao longo do tempo, evitando o posicionamento genérico de ‘produtividade’.” | DOC-C01-005: “Eu evitaria usar não execução como problema principal. É estreito demais.” e “A distância entre intenção e execução diante de vulnerabilidades cognitivas e demandas reais.” | DOC-C02-039 (BMC, célula Problema): “Apresentar o EXECUTAR cedo demais pode reduzir a credibilidade da investigação e impedir distinguir interesse genuíno pelo problema de interesse no produto.”</t>
        </is>
      </c>
      <c r="J554" s="17" t="n"/>
      <c r="K554" s="17" t="inlineStr">
        <is>
          <t>alta</t>
        </is>
      </c>
      <c r="L554" s="17" t="inlineStr">
        <is>
          <t>preenchido</t>
        </is>
      </c>
    </row>
    <row r="555">
      <c r="A555" s="17" t="inlineStr">
        <is>
          <t>EV-0d5c4a9300</t>
        </is>
      </c>
      <c r="B555" s="17" t="inlineStr">
        <is>
          <t>formulario</t>
        </is>
      </c>
      <c r="C555" s="17" t="inlineStr">
        <is>
          <t>dia1-2</t>
        </is>
      </c>
      <c r="D555" s="17" t="inlineStr">
        <is>
          <t>1.2 Público-alvo / ICP</t>
        </is>
      </c>
      <c r="E555" s="17" t="n"/>
      <c r="F555" s="17" t="inlineStr">
        <is>
          <t>NEGÓCIO &amp; GTM</t>
        </is>
      </c>
      <c r="G555" s="18" t="inlineStr">
        <is>
          <t>TRANSVERSAL — conflito em ECO-01; ECO-07 e ECO-02 têm públicos próprios</t>
        </is>
      </c>
      <c r="H555" s="17" t="inlineStr">
        <is>
          <t>DOC-C05-001</t>
        </is>
      </c>
      <c r="I555" s="18" t="inlineStr">
        <is>
          <t>DOC-C05-001: “Homens, adultos, neurodivergentes, autônomos, na faixa dos 25–35 anos, recém-diagnosticados…” | DOC-C07-009 (ICP-01, status DECIDED_FOR_TEST, confiança MÉDIA-ALTA): “Iniciar testes por profissionais independentes multiprojeto, sem exigir diagnóstico de TDAH”; e “O que não é critério de entrada: Diagnóstico de TDAH. Diagnóstico/autodeclaração deve ser variável opcional posterior, especialmente porque dados de saúde são sensíveis e não são necessários para o core funcional.” | DOC-C05-001 (SSOT Executar Studio, item 02 Público): “Profissionais solo, autônomos e pequenos negócios com trabalho, informação, clientes e projetos dispersos.” | DOC-C02-039 (BMC, Público/validação): “Leitores interessados em funções executivas, neurodivergência, trabalho, projetos e risco.”</t>
        </is>
      </c>
      <c r="J555" s="17" t="n"/>
      <c r="K555" s="17" t="inlineStr">
        <is>
          <t>alta</t>
        </is>
      </c>
      <c r="L555" s="17" t="inlineStr">
        <is>
          <t>conflito</t>
        </is>
      </c>
    </row>
    <row r="556">
      <c r="A556" s="17" t="inlineStr">
        <is>
          <t>EV-b80822cbbc</t>
        </is>
      </c>
      <c r="B556" s="17" t="inlineStr">
        <is>
          <t>formulario</t>
        </is>
      </c>
      <c r="C556" s="17" t="inlineStr">
        <is>
          <t>dia1-2</t>
        </is>
      </c>
      <c r="D556" s="17" t="inlineStr">
        <is>
          <t>1.2 Público-alvo / ICP</t>
        </is>
      </c>
      <c r="E556" s="17" t="n"/>
      <c r="F556" s="17" t="inlineStr">
        <is>
          <t>NEGÓCIO &amp; GTM</t>
        </is>
      </c>
      <c r="G556" s="18" t="inlineStr">
        <is>
          <t>TRANSVERSAL — conflito em ECO-01; ECO-07 e ECO-02 têm públicos próprios</t>
        </is>
      </c>
      <c r="H556" s="17" t="inlineStr">
        <is>
          <t>DOC-C07-009</t>
        </is>
      </c>
      <c r="I556" s="18" t="inlineStr">
        <is>
          <t>DOC-C05-001: “Homens, adultos, neurodivergentes, autônomos, na faixa dos 25–35 anos, recém-diagnosticados…” | DOC-C07-009 (ICP-01, status DECIDED_FOR_TEST, confiança MÉDIA-ALTA): “Iniciar testes por profissionais independentes multiprojeto, sem exigir diagnóstico de TDAH”; e “O que não é critério de entrada: Diagnóstico de TDAH. Diagnóstico/autodeclaração deve ser variável opcional posterior, especialmente porque dados de saúde são sensíveis e não são necessários para o core funcional.” | DOC-C05-001 (SSOT Executar Studio, item 02 Público): “Profissionais solo, autônomos e pequenos negócios com trabalho, informação, clientes e projetos dispersos.” | DOC-C02-039 (BMC, Público/validação): “Leitores interessados em funções executivas, neurodivergência, trabalho, projetos e risco.”</t>
        </is>
      </c>
      <c r="J556" s="17" t="n"/>
      <c r="K556" s="17" t="inlineStr">
        <is>
          <t>alta</t>
        </is>
      </c>
      <c r="L556" s="17" t="inlineStr">
        <is>
          <t>conflito</t>
        </is>
      </c>
    </row>
    <row r="557">
      <c r="A557" s="17" t="inlineStr">
        <is>
          <t>EV-c33a843c3c</t>
        </is>
      </c>
      <c r="B557" s="17" t="inlineStr">
        <is>
          <t>formulario</t>
        </is>
      </c>
      <c r="C557" s="17" t="inlineStr">
        <is>
          <t>dia1-2</t>
        </is>
      </c>
      <c r="D557" s="17" t="inlineStr">
        <is>
          <t>1.2 Público-alvo / ICP</t>
        </is>
      </c>
      <c r="E557" s="17" t="n"/>
      <c r="F557" s="17" t="inlineStr">
        <is>
          <t>NEGÓCIO &amp; GTM</t>
        </is>
      </c>
      <c r="G557" s="18" t="inlineStr">
        <is>
          <t>TRANSVERSAL — conflito em ECO-01; ECO-07 e ECO-02 têm públicos próprios</t>
        </is>
      </c>
      <c r="H557" s="17" t="inlineStr">
        <is>
          <t>DOC-C02-039</t>
        </is>
      </c>
      <c r="I557" s="18" t="inlineStr">
        <is>
          <t>DOC-C05-001: “Homens, adultos, neurodivergentes, autônomos, na faixa dos 25–35 anos, recém-diagnosticados…” | DOC-C07-009 (ICP-01, status DECIDED_FOR_TEST, confiança MÉDIA-ALTA): “Iniciar testes por profissionais independentes multiprojeto, sem exigir diagnóstico de TDAH”; e “O que não é critério de entrada: Diagnóstico de TDAH. Diagnóstico/autodeclaração deve ser variável opcional posterior, especialmente porque dados de saúde são sensíveis e não são necessários para o core funcional.” | DOC-C05-001 (SSOT Executar Studio, item 02 Público): “Profissionais solo, autônomos e pequenos negócios com trabalho, informação, clientes e projetos dispersos.” | DOC-C02-039 (BMC, Público/validação): “Leitores interessados em funções executivas, neurodivergência, trabalho, projetos e risco.”</t>
        </is>
      </c>
      <c r="J557" s="17" t="n"/>
      <c r="K557" s="17" t="inlineStr">
        <is>
          <t>alta</t>
        </is>
      </c>
      <c r="L557" s="17" t="inlineStr">
        <is>
          <t>conflito</t>
        </is>
      </c>
    </row>
    <row r="558">
      <c r="A558" s="17" t="inlineStr">
        <is>
          <t>EV-ad60eb62e3</t>
        </is>
      </c>
      <c r="B558" s="17" t="inlineStr">
        <is>
          <t>formulario</t>
        </is>
      </c>
      <c r="C558" s="17" t="inlineStr">
        <is>
          <t>dia1-2</t>
        </is>
      </c>
      <c r="D558" s="17" t="inlineStr">
        <is>
          <t>1.3 Proposta de valor</t>
        </is>
      </c>
      <c r="E558" s="17" t="n"/>
      <c r="F558" s="17" t="inlineStr">
        <is>
          <t>NEGÓCIO &amp; GTM</t>
        </is>
      </c>
      <c r="G558" s="18" t="inlineStr">
        <is>
          <t>TRANSVERSAL — respostas distintas em ECO-01, ECO-07, ECO-02/03, ECO-05 e ECO-04</t>
        </is>
      </c>
      <c r="H558" s="17" t="inlineStr">
        <is>
          <t>DOC-C05-001</t>
        </is>
      </c>
      <c r="I558" s="18" t="inlineStr">
        <is>
          <t>DOC-C05-001 (Benefício e Promessa principal; Mensagem final): “O usuário executa. O sistema sustenta a execução.”; Headline 01: “O app de produtividade feito para você não usar.”; Descrição 01: “Executar é um sistema de gestão de projetos orientado à execução que reduz configuração, organização manual e decisões repetitivas para mostrar o que pode ser feito agora.” | DOC-C07-009 (campo positioning): “Sistema de execução para profissionais multiprojeto que transforma contexto em próxima ação e preserva o estado do trabalho.” | DOC-C09-004: “O aplicativo de produtividade feito para você usar menos. O sistema sustenta a estrutura; o usuário executa.” | DOC-C09-006: “Traga o problema. Em 7 dias, saia com um sistema funcionando.” | DOC-C02-039 (BMC, Proposta de valor): “Transformar Risco Cognitivo em uma categoria editorial e investigável antes de conectá-la ao produto.”</t>
        </is>
      </c>
      <c r="J558" s="17" t="n"/>
      <c r="K558" s="17" t="inlineStr">
        <is>
          <t>alta</t>
        </is>
      </c>
      <c r="L558" s="17" t="inlineStr">
        <is>
          <t>preenchido</t>
        </is>
      </c>
    </row>
    <row r="559">
      <c r="A559" s="17" t="inlineStr">
        <is>
          <t>EV-61423513c7</t>
        </is>
      </c>
      <c r="B559" s="17" t="inlineStr">
        <is>
          <t>formulario</t>
        </is>
      </c>
      <c r="C559" s="17" t="inlineStr">
        <is>
          <t>dia1-2</t>
        </is>
      </c>
      <c r="D559" s="17" t="inlineStr">
        <is>
          <t>1.3 Proposta de valor</t>
        </is>
      </c>
      <c r="E559" s="17" t="n"/>
      <c r="F559" s="17" t="inlineStr">
        <is>
          <t>NEGÓCIO &amp; GTM</t>
        </is>
      </c>
      <c r="G559" s="18" t="inlineStr">
        <is>
          <t>TRANSVERSAL — respostas distintas em ECO-01, ECO-07, ECO-02/03, ECO-05 e ECO-04</t>
        </is>
      </c>
      <c r="H559" s="17" t="inlineStr">
        <is>
          <t>DOC-C07-009</t>
        </is>
      </c>
      <c r="I559" s="18" t="inlineStr">
        <is>
          <t>DOC-C05-001 (Benefício e Promessa principal; Mensagem final): “O usuário executa. O sistema sustenta a execução.”; Headline 01: “O app de produtividade feito para você não usar.”; Descrição 01: “Executar é um sistema de gestão de projetos orientado à execução que reduz configuração, organização manual e decisões repetitivas para mostrar o que pode ser feito agora.” | DOC-C07-009 (campo positioning): “Sistema de execução para profissionais multiprojeto que transforma contexto em próxima ação e preserva o estado do trabalho.” | DOC-C09-004: “O aplicativo de produtividade feito para você usar menos. O sistema sustenta a estrutura; o usuário executa.” | DOC-C09-006: “Traga o problema. Em 7 dias, saia com um sistema funcionando.” | DOC-C02-039 (BMC, Proposta de valor): “Transformar Risco Cognitivo em uma categoria editorial e investigável antes de conectá-la ao produto.”</t>
        </is>
      </c>
      <c r="J559" s="17" t="n"/>
      <c r="K559" s="17" t="inlineStr">
        <is>
          <t>alta</t>
        </is>
      </c>
      <c r="L559" s="17" t="inlineStr">
        <is>
          <t>preenchido</t>
        </is>
      </c>
    </row>
    <row r="560">
      <c r="A560" s="17" t="inlineStr">
        <is>
          <t>EV-d2871aa446</t>
        </is>
      </c>
      <c r="B560" s="17" t="inlineStr">
        <is>
          <t>formulario</t>
        </is>
      </c>
      <c r="C560" s="17" t="inlineStr">
        <is>
          <t>dia1-2</t>
        </is>
      </c>
      <c r="D560" s="17" t="inlineStr">
        <is>
          <t>1.3 Proposta de valor</t>
        </is>
      </c>
      <c r="E560" s="17" t="n"/>
      <c r="F560" s="17" t="inlineStr">
        <is>
          <t>NEGÓCIO &amp; GTM</t>
        </is>
      </c>
      <c r="G560" s="18" t="inlineStr">
        <is>
          <t>TRANSVERSAL — respostas distintas em ECO-01, ECO-07, ECO-02/03, ECO-05 e ECO-04</t>
        </is>
      </c>
      <c r="H560" s="17" t="inlineStr">
        <is>
          <t>DOC-C09-004</t>
        </is>
      </c>
      <c r="I560" s="18" t="inlineStr">
        <is>
          <t>DOC-C05-001 (Benefício e Promessa principal; Mensagem final): “O usuário executa. O sistema sustenta a execução.”; Headline 01: “O app de produtividade feito para você não usar.”; Descrição 01: “Executar é um sistema de gestão de projetos orientado à execução que reduz configuração, organização manual e decisões repetitivas para mostrar o que pode ser feito agora.” | DOC-C07-009 (campo positioning): “Sistema de execução para profissionais multiprojeto que transforma contexto em próxima ação e preserva o estado do trabalho.” | DOC-C09-004: “O aplicativo de produtividade feito para você usar menos. O sistema sustenta a estrutura; o usuário executa.” | DOC-C09-006: “Traga o problema. Em 7 dias, saia com um sistema funcionando.” | DOC-C02-039 (BMC, Proposta de valor): “Transformar Risco Cognitivo em uma categoria editorial e investigável antes de conectá-la ao produto.”</t>
        </is>
      </c>
      <c r="J560" s="17" t="n"/>
      <c r="K560" s="17" t="inlineStr">
        <is>
          <t>alta</t>
        </is>
      </c>
      <c r="L560" s="17" t="inlineStr">
        <is>
          <t>preenchido</t>
        </is>
      </c>
    </row>
    <row r="561">
      <c r="A561" s="17" t="inlineStr">
        <is>
          <t>EV-af44395105</t>
        </is>
      </c>
      <c r="B561" s="17" t="inlineStr">
        <is>
          <t>formulario</t>
        </is>
      </c>
      <c r="C561" s="17" t="inlineStr">
        <is>
          <t>dia1-2</t>
        </is>
      </c>
      <c r="D561" s="17" t="inlineStr">
        <is>
          <t>1.3 Proposta de valor</t>
        </is>
      </c>
      <c r="E561" s="17" t="n"/>
      <c r="F561" s="17" t="inlineStr">
        <is>
          <t>NEGÓCIO &amp; GTM</t>
        </is>
      </c>
      <c r="G561" s="18" t="inlineStr">
        <is>
          <t>TRANSVERSAL — respostas distintas em ECO-01, ECO-07, ECO-02/03, ECO-05 e ECO-04</t>
        </is>
      </c>
      <c r="H561" s="17" t="inlineStr">
        <is>
          <t>DOC-C09-006</t>
        </is>
      </c>
      <c r="I561" s="18" t="inlineStr">
        <is>
          <t>DOC-C05-001 (Benefício e Promessa principal; Mensagem final): “O usuário executa. O sistema sustenta a execução.”; Headline 01: “O app de produtividade feito para você não usar.”; Descrição 01: “Executar é um sistema de gestão de projetos orientado à execução que reduz configuração, organização manual e decisões repetitivas para mostrar o que pode ser feito agora.” | DOC-C07-009 (campo positioning): “Sistema de execução para profissionais multiprojeto que transforma contexto em próxima ação e preserva o estado do trabalho.” | DOC-C09-004: “O aplicativo de produtividade feito para você usar menos. O sistema sustenta a estrutura; o usuário executa.” | DOC-C09-006: “Traga o problema. Em 7 dias, saia com um sistema funcionando.” | DOC-C02-039 (BMC, Proposta de valor): “Transformar Risco Cognitivo em uma categoria editorial e investigável antes de conectá-la ao produto.”</t>
        </is>
      </c>
      <c r="J561" s="17" t="n"/>
      <c r="K561" s="17" t="inlineStr">
        <is>
          <t>alta</t>
        </is>
      </c>
      <c r="L561" s="17" t="inlineStr">
        <is>
          <t>preenchido</t>
        </is>
      </c>
    </row>
    <row r="562">
      <c r="A562" s="17" t="inlineStr">
        <is>
          <t>EV-6f77451405</t>
        </is>
      </c>
      <c r="B562" s="17" t="inlineStr">
        <is>
          <t>formulario</t>
        </is>
      </c>
      <c r="C562" s="17" t="inlineStr">
        <is>
          <t>dia1-2</t>
        </is>
      </c>
      <c r="D562" s="17" t="inlineStr">
        <is>
          <t>1.3 Proposta de valor</t>
        </is>
      </c>
      <c r="E562" s="17" t="n"/>
      <c r="F562" s="17" t="inlineStr">
        <is>
          <t>NEGÓCIO &amp; GTM</t>
        </is>
      </c>
      <c r="G562" s="18" t="inlineStr">
        <is>
          <t>TRANSVERSAL — respostas distintas em ECO-01, ECO-07, ECO-02/03, ECO-05 e ECO-04</t>
        </is>
      </c>
      <c r="H562" s="17" t="inlineStr">
        <is>
          <t>DOC-C09-016</t>
        </is>
      </c>
      <c r="I562" s="18" t="inlineStr">
        <is>
          <t>DOC-C05-001 (Benefício e Promessa principal; Mensagem final): “O usuário executa. O sistema sustenta a execução.”; Headline 01: “O app de produtividade feito para você não usar.”; Descrição 01: “Executar é um sistema de gestão de projetos orientado à execução que reduz configuração, organização manual e decisões repetitivas para mostrar o que pode ser feito agora.” | DOC-C07-009 (campo positioning): “Sistema de execução para profissionais multiprojeto que transforma contexto em próxima ação e preserva o estado do trabalho.” | DOC-C09-004: “O aplicativo de produtividade feito para você usar menos. O sistema sustenta a estrutura; o usuário executa.” | DOC-C09-006: “Traga o problema. Em 7 dias, saia com um sistema funcionando.” | DOC-C02-039 (BMC, Proposta de valor): “Transformar Risco Cognitivo em uma categoria editorial e investigável antes de conectá-la ao produto.”</t>
        </is>
      </c>
      <c r="J562" s="17" t="n"/>
      <c r="K562" s="17" t="inlineStr">
        <is>
          <t>alta</t>
        </is>
      </c>
      <c r="L562" s="17" t="inlineStr">
        <is>
          <t>preenchido</t>
        </is>
      </c>
    </row>
    <row r="563">
      <c r="A563" s="17" t="inlineStr">
        <is>
          <t>EV-0149c993ce</t>
        </is>
      </c>
      <c r="B563" s="17" t="inlineStr">
        <is>
          <t>formulario</t>
        </is>
      </c>
      <c r="C563" s="17" t="inlineStr">
        <is>
          <t>dia1-2</t>
        </is>
      </c>
      <c r="D563" s="17" t="inlineStr">
        <is>
          <t>1.3 Proposta de valor</t>
        </is>
      </c>
      <c r="E563" s="17" t="n"/>
      <c r="F563" s="17" t="inlineStr">
        <is>
          <t>NEGÓCIO &amp; GTM</t>
        </is>
      </c>
      <c r="G563" s="18" t="inlineStr">
        <is>
          <t>TRANSVERSAL — respostas distintas em ECO-01, ECO-07, ECO-02/03, ECO-05 e ECO-04</t>
        </is>
      </c>
      <c r="H563" s="17" t="inlineStr">
        <is>
          <t>DOC-C09-008</t>
        </is>
      </c>
      <c r="I563" s="18" t="inlineStr">
        <is>
          <t>DOC-C05-001 (Benefício e Promessa principal; Mensagem final): “O usuário executa. O sistema sustenta a execução.”; Headline 01: “O app de produtividade feito para você não usar.”; Descrição 01: “Executar é um sistema de gestão de projetos orientado à execução que reduz configuração, organização manual e decisões repetitivas para mostrar o que pode ser feito agora.” | DOC-C07-009 (campo positioning): “Sistema de execução para profissionais multiprojeto que transforma contexto em próxima ação e preserva o estado do trabalho.” | DOC-C09-004: “O aplicativo de produtividade feito para você usar menos. O sistema sustenta a estrutura; o usuário executa.” | DOC-C09-006: “Traga o problema. Em 7 dias, saia com um sistema funcionando.” | DOC-C02-039 (BMC, Proposta de valor): “Transformar Risco Cognitivo em uma categoria editorial e investigável antes de conectá-la ao produto.”</t>
        </is>
      </c>
      <c r="J563" s="17" t="n"/>
      <c r="K563" s="17" t="inlineStr">
        <is>
          <t>alta</t>
        </is>
      </c>
      <c r="L563" s="17" t="inlineStr">
        <is>
          <t>preenchido</t>
        </is>
      </c>
    </row>
    <row r="564">
      <c r="A564" s="17" t="inlineStr">
        <is>
          <t>EV-e409d1cbdb</t>
        </is>
      </c>
      <c r="B564" s="17" t="inlineStr">
        <is>
          <t>formulario</t>
        </is>
      </c>
      <c r="C564" s="17" t="inlineStr">
        <is>
          <t>dia1-2</t>
        </is>
      </c>
      <c r="D564" s="17" t="inlineStr">
        <is>
          <t>1.3 Proposta de valor</t>
        </is>
      </c>
      <c r="E564" s="17" t="n"/>
      <c r="F564" s="17" t="inlineStr">
        <is>
          <t>NEGÓCIO &amp; GTM</t>
        </is>
      </c>
      <c r="G564" s="18" t="inlineStr">
        <is>
          <t>TRANSVERSAL — respostas distintas em ECO-01, ECO-07, ECO-02/03, ECO-05 e ECO-04</t>
        </is>
      </c>
      <c r="H564" s="17" t="inlineStr">
        <is>
          <t>DOC-C02-039</t>
        </is>
      </c>
      <c r="I564" s="18" t="inlineStr">
        <is>
          <t>DOC-C05-001 (Benefício e Promessa principal; Mensagem final): “O usuário executa. O sistema sustenta a execução.”; Headline 01: “O app de produtividade feito para você não usar.”; Descrição 01: “Executar é um sistema de gestão de projetos orientado à execução que reduz configuração, organização manual e decisões repetitivas para mostrar o que pode ser feito agora.” | DOC-C07-009 (campo positioning): “Sistema de execução para profissionais multiprojeto que transforma contexto em próxima ação e preserva o estado do trabalho.” | DOC-C09-004: “O aplicativo de produtividade feito para você usar menos. O sistema sustenta a estrutura; o usuário executa.” | DOC-C09-006: “Traga o problema. Em 7 dias, saia com um sistema funcionando.” | DOC-C02-039 (BMC, Proposta de valor): “Transformar Risco Cognitivo em uma categoria editorial e investigável antes de conectá-la ao produto.”</t>
        </is>
      </c>
      <c r="J564" s="17" t="n"/>
      <c r="K564" s="17" t="inlineStr">
        <is>
          <t>alta</t>
        </is>
      </c>
      <c r="L564" s="17" t="inlineStr">
        <is>
          <t>preenchido</t>
        </is>
      </c>
    </row>
    <row r="565">
      <c r="A565" s="17" t="inlineStr">
        <is>
          <t>EV-cea4764f4a</t>
        </is>
      </c>
      <c r="B565" s="17" t="inlineStr">
        <is>
          <t>formulario</t>
        </is>
      </c>
      <c r="C565" s="17" t="inlineStr">
        <is>
          <t>dia1-2</t>
        </is>
      </c>
      <c r="D565" s="17" t="inlineStr">
        <is>
          <t>1.4 Canais de aquisição</t>
        </is>
      </c>
      <c r="E565" s="17" t="n"/>
      <c r="F565" s="17" t="inlineStr">
        <is>
          <t>NEGÓCIO &amp; GTM</t>
        </is>
      </c>
      <c r="G565" s="17" t="inlineStr">
        <is>
          <t>TRANSVERSAL</t>
        </is>
      </c>
      <c r="H565" s="17" t="inlineStr">
        <is>
          <t>DOC-C05-001</t>
        </is>
      </c>
      <c r="I565" s="18" t="inlineStr">
        <is>
          <t>DOC-C05-001 (Arquitetura das plataformas): “OWNED 01 executar.com / Blog — Fonte canônica do conteúdo; OWNED 02 Biblioteca Executar; OWNED 03 E-mail / newsletter; DISTRIBUIÇÃO 01 YouTube; 02 Instagram; 03 TikTok; 04 LinkedIn”; e “Instagram, YouTube, TikTok e LinkedIn não são plataformas proprietárias; são plataformas alugadas/terceiras.” | DOC-C05-001 (SSOT Studio, item 13 Aquisição): “Conteúdo → Showroom → Formulário visual → Encontro → Projeto.” | DOC-C08-004: “CH-001 Experimentar Executar → página do aplicativo”, “CH-003 Explorar a biblioteca”, “CH-007 Ver o livro → ligação de afiliado”, “CH-010 Entrar na lista → formulário”. | DOC-C02-043: “Pacote: 1 artigo, 1 newsletter, 1 vídeo principal, 3 vídeos curtos, 2 carrosséis, 6 posts curtos, 1 infográfico, 1 checklist, 1 lead magnet e 1 landing page — 18 ativos principais.” | DOC-C09-018: “Núcleo inicial — Russell A. Barkley · Vencendo o TDAH Adulto; Russell A. Barkley · Executive Functions; Ana Beatriz Barbosa Silva · Mentes Inquietas.”</t>
        </is>
      </c>
      <c r="J565" s="17" t="n"/>
      <c r="K565" s="17" t="inlineStr">
        <is>
          <t>alta</t>
        </is>
      </c>
      <c r="L565" s="17" t="inlineStr">
        <is>
          <t>preenchido</t>
        </is>
      </c>
    </row>
    <row r="566">
      <c r="A566" s="17" t="inlineStr">
        <is>
          <t>EV-4f3964859e</t>
        </is>
      </c>
      <c r="B566" s="17" t="inlineStr">
        <is>
          <t>formulario</t>
        </is>
      </c>
      <c r="C566" s="17" t="inlineStr">
        <is>
          <t>dia1-2</t>
        </is>
      </c>
      <c r="D566" s="17" t="inlineStr">
        <is>
          <t>1.4 Canais de aquisição</t>
        </is>
      </c>
      <c r="E566" s="17" t="n"/>
      <c r="F566" s="17" t="inlineStr">
        <is>
          <t>NEGÓCIO &amp; GTM</t>
        </is>
      </c>
      <c r="G566" s="17" t="inlineStr">
        <is>
          <t>TRANSVERSAL</t>
        </is>
      </c>
      <c r="H566" s="17" t="inlineStr">
        <is>
          <t>DOC-C08-004</t>
        </is>
      </c>
      <c r="I566" s="18" t="inlineStr">
        <is>
          <t>DOC-C05-001 (Arquitetura das plataformas): “OWNED 01 executar.com / Blog — Fonte canônica do conteúdo; OWNED 02 Biblioteca Executar; OWNED 03 E-mail / newsletter; DISTRIBUIÇÃO 01 YouTube; 02 Instagram; 03 TikTok; 04 LinkedIn”; e “Instagram, YouTube, TikTok e LinkedIn não são plataformas proprietárias; são plataformas alugadas/terceiras.” | DOC-C05-001 (SSOT Studio, item 13 Aquisição): “Conteúdo → Showroom → Formulário visual → Encontro → Projeto.” | DOC-C08-004: “CH-001 Experimentar Executar → página do aplicativo”, “CH-003 Explorar a biblioteca”, “CH-007 Ver o livro → ligação de afiliado”, “CH-010 Entrar na lista → formulário”. | DOC-C02-043: “Pacote: 1 artigo, 1 newsletter, 1 vídeo principal, 3 vídeos curtos, 2 carrosséis, 6 posts curtos, 1 infográfico, 1 checklist, 1 lead magnet e 1 landing page — 18 ativos principais.” | DOC-C09-018: “Núcleo inicial — Russell A. Barkley · Vencendo o TDAH Adulto; Russell A. Barkley · Executive Functions; Ana Beatriz Barbosa Silva · Mentes Inquietas.”</t>
        </is>
      </c>
      <c r="J566" s="17" t="n"/>
      <c r="K566" s="17" t="inlineStr">
        <is>
          <t>alta</t>
        </is>
      </c>
      <c r="L566" s="17" t="inlineStr">
        <is>
          <t>preenchido</t>
        </is>
      </c>
    </row>
    <row r="567">
      <c r="A567" s="17" t="inlineStr">
        <is>
          <t>EV-dc539433d6</t>
        </is>
      </c>
      <c r="B567" s="17" t="inlineStr">
        <is>
          <t>formulario</t>
        </is>
      </c>
      <c r="C567" s="17" t="inlineStr">
        <is>
          <t>dia1-2</t>
        </is>
      </c>
      <c r="D567" s="17" t="inlineStr">
        <is>
          <t>1.4 Canais de aquisição</t>
        </is>
      </c>
      <c r="E567" s="17" t="n"/>
      <c r="F567" s="17" t="inlineStr">
        <is>
          <t>NEGÓCIO &amp; GTM</t>
        </is>
      </c>
      <c r="G567" s="17" t="inlineStr">
        <is>
          <t>TRANSVERSAL</t>
        </is>
      </c>
      <c r="H567" s="17" t="inlineStr">
        <is>
          <t>DOC-C08-006</t>
        </is>
      </c>
      <c r="I567" s="18" t="inlineStr">
        <is>
          <t>DOC-C05-001 (Arquitetura das plataformas): “OWNED 01 executar.com / Blog — Fonte canônica do conteúdo; OWNED 02 Biblioteca Executar; OWNED 03 E-mail / newsletter; DISTRIBUIÇÃO 01 YouTube; 02 Instagram; 03 TikTok; 04 LinkedIn”; e “Instagram, YouTube, TikTok e LinkedIn não são plataformas proprietárias; são plataformas alugadas/terceiras.” | DOC-C05-001 (SSOT Studio, item 13 Aquisição): “Conteúdo → Showroom → Formulário visual → Encontro → Projeto.” | DOC-C08-004: “CH-001 Experimentar Executar → página do aplicativo”, “CH-003 Explorar a biblioteca”, “CH-007 Ver o livro → ligação de afiliado”, “CH-010 Entrar na lista → formulário”. | DOC-C02-043: “Pacote: 1 artigo, 1 newsletter, 1 vídeo principal, 3 vídeos curtos, 2 carrosséis, 6 posts curtos, 1 infográfico, 1 checklist, 1 lead magnet e 1 landing page — 18 ativos principais.” | DOC-C09-018: “Núcleo inicial — Russell A. Barkley · Vencendo o TDAH Adulto; Russell A. Barkley · Executive Functions; Ana Beatriz Barbosa Silva · Mentes Inquietas.”</t>
        </is>
      </c>
      <c r="J567" s="17" t="n"/>
      <c r="K567" s="17" t="inlineStr">
        <is>
          <t>alta</t>
        </is>
      </c>
      <c r="L567" s="17" t="inlineStr">
        <is>
          <t>preenchido</t>
        </is>
      </c>
    </row>
    <row r="568">
      <c r="A568" s="17" t="inlineStr">
        <is>
          <t>EV-080e75680a</t>
        </is>
      </c>
      <c r="B568" s="17" t="inlineStr">
        <is>
          <t>formulario</t>
        </is>
      </c>
      <c r="C568" s="17" t="inlineStr">
        <is>
          <t>dia1-2</t>
        </is>
      </c>
      <c r="D568" s="17" t="inlineStr">
        <is>
          <t>1.4 Canais de aquisição</t>
        </is>
      </c>
      <c r="E568" s="17" t="n"/>
      <c r="F568" s="17" t="inlineStr">
        <is>
          <t>NEGÓCIO &amp; GTM</t>
        </is>
      </c>
      <c r="G568" s="17" t="inlineStr">
        <is>
          <t>TRANSVERSAL</t>
        </is>
      </c>
      <c r="H568" s="17" t="inlineStr">
        <is>
          <t>DOC-C06-001</t>
        </is>
      </c>
      <c r="I568" s="18" t="inlineStr">
        <is>
          <t>DOC-C05-001 (Arquitetura das plataformas): “OWNED 01 executar.com / Blog — Fonte canônica do conteúdo; OWNED 02 Biblioteca Executar; OWNED 03 E-mail / newsletter; DISTRIBUIÇÃO 01 YouTube; 02 Instagram; 03 TikTok; 04 LinkedIn”; e “Instagram, YouTube, TikTok e LinkedIn não são plataformas proprietárias; são plataformas alugadas/terceiras.” | DOC-C05-001 (SSOT Studio, item 13 Aquisição): “Conteúdo → Showroom → Formulário visual → Encontro → Projeto.” | DOC-C08-004: “CH-001 Experimentar Executar → página do aplicativo”, “CH-003 Explorar a biblioteca”, “CH-007 Ver o livro → ligação de afiliado”, “CH-010 Entrar na lista → formulário”. | DOC-C02-043: “Pacote: 1 artigo, 1 newsletter, 1 vídeo principal, 3 vídeos curtos, 2 carrosséis, 6 posts curtos, 1 infográfico, 1 checklist, 1 lead magnet e 1 landing page — 18 ativos principais.” | DOC-C09-018: “Núcleo inicial — Russell A. Barkley · Vencendo o TDAH Adulto; Russell A. Barkley · Executive Functions; Ana Beatriz Barbosa Silva · Mentes Inquietas.”</t>
        </is>
      </c>
      <c r="J568" s="17" t="n"/>
      <c r="K568" s="17" t="inlineStr">
        <is>
          <t>alta</t>
        </is>
      </c>
      <c r="L568" s="17" t="inlineStr">
        <is>
          <t>preenchido</t>
        </is>
      </c>
    </row>
    <row r="569">
      <c r="A569" s="17" t="inlineStr">
        <is>
          <t>EV-e899fa4e17</t>
        </is>
      </c>
      <c r="B569" s="17" t="inlineStr">
        <is>
          <t>formulario</t>
        </is>
      </c>
      <c r="C569" s="17" t="inlineStr">
        <is>
          <t>dia1-2</t>
        </is>
      </c>
      <c r="D569" s="17" t="inlineStr">
        <is>
          <t>1.4 Canais de aquisição</t>
        </is>
      </c>
      <c r="E569" s="17" t="n"/>
      <c r="F569" s="17" t="inlineStr">
        <is>
          <t>NEGÓCIO &amp; GTM</t>
        </is>
      </c>
      <c r="G569" s="17" t="inlineStr">
        <is>
          <t>TRANSVERSAL</t>
        </is>
      </c>
      <c r="H569" s="17" t="inlineStr">
        <is>
          <t>DOC-C02-043</t>
        </is>
      </c>
      <c r="I569" s="18" t="inlineStr">
        <is>
          <t>DOC-C05-001 (Arquitetura das plataformas): “OWNED 01 executar.com / Blog — Fonte canônica do conteúdo; OWNED 02 Biblioteca Executar; OWNED 03 E-mail / newsletter; DISTRIBUIÇÃO 01 YouTube; 02 Instagram; 03 TikTok; 04 LinkedIn”; e “Instagram, YouTube, TikTok e LinkedIn não são plataformas proprietárias; são plataformas alugadas/terceiras.” | DOC-C05-001 (SSOT Studio, item 13 Aquisição): “Conteúdo → Showroom → Formulário visual → Encontro → Projeto.” | DOC-C08-004: “CH-001 Experimentar Executar → página do aplicativo”, “CH-003 Explorar a biblioteca”, “CH-007 Ver o livro → ligação de afiliado”, “CH-010 Entrar na lista → formulário”. | DOC-C02-043: “Pacote: 1 artigo, 1 newsletter, 1 vídeo principal, 3 vídeos curtos, 2 carrosséis, 6 posts curtos, 1 infográfico, 1 checklist, 1 lead magnet e 1 landing page — 18 ativos principais.” | DOC-C09-018: “Núcleo inicial — Russell A. Barkley · Vencendo o TDAH Adulto; Russell A. Barkley · Executive Functions; Ana Beatriz Barbosa Silva · Mentes Inquietas.”</t>
        </is>
      </c>
      <c r="J569" s="17" t="n"/>
      <c r="K569" s="17" t="inlineStr">
        <is>
          <t>alta</t>
        </is>
      </c>
      <c r="L569" s="17" t="inlineStr">
        <is>
          <t>preenchido</t>
        </is>
      </c>
    </row>
    <row r="570">
      <c r="A570" s="17" t="inlineStr">
        <is>
          <t>EV-9c74079781</t>
        </is>
      </c>
      <c r="B570" s="17" t="inlineStr">
        <is>
          <t>formulario</t>
        </is>
      </c>
      <c r="C570" s="17" t="inlineStr">
        <is>
          <t>dia1-2</t>
        </is>
      </c>
      <c r="D570" s="17" t="inlineStr">
        <is>
          <t>1.4 Canais de aquisição</t>
        </is>
      </c>
      <c r="E570" s="17" t="n"/>
      <c r="F570" s="17" t="inlineStr">
        <is>
          <t>NEGÓCIO &amp; GTM</t>
        </is>
      </c>
      <c r="G570" s="17" t="inlineStr">
        <is>
          <t>TRANSVERSAL</t>
        </is>
      </c>
      <c r="H570" s="17" t="inlineStr">
        <is>
          <t>DOC-C09-015</t>
        </is>
      </c>
      <c r="I570" s="18" t="inlineStr">
        <is>
          <t>DOC-C05-001 (Arquitetura das plataformas): “OWNED 01 executar.com / Blog — Fonte canônica do conteúdo; OWNED 02 Biblioteca Executar; OWNED 03 E-mail / newsletter; DISTRIBUIÇÃO 01 YouTube; 02 Instagram; 03 TikTok; 04 LinkedIn”; e “Instagram, YouTube, TikTok e LinkedIn não são plataformas proprietárias; são plataformas alugadas/terceiras.” | DOC-C05-001 (SSOT Studio, item 13 Aquisição): “Conteúdo → Showroom → Formulário visual → Encontro → Projeto.” | DOC-C08-004: “CH-001 Experimentar Executar → página do aplicativo”, “CH-003 Explorar a biblioteca”, “CH-007 Ver o livro → ligação de afiliado”, “CH-010 Entrar na lista → formulário”. | DOC-C02-043: “Pacote: 1 artigo, 1 newsletter, 1 vídeo principal, 3 vídeos curtos, 2 carrosséis, 6 posts curtos, 1 infográfico, 1 checklist, 1 lead magnet e 1 landing page — 18 ativos principais.” | DOC-C09-018: “Núcleo inicial — Russell A. Barkley · Vencendo o TDAH Adulto; Russell A. Barkley · Executive Functions; Ana Beatriz Barbosa Silva · Mentes Inquietas.”</t>
        </is>
      </c>
      <c r="J570" s="17" t="n"/>
      <c r="K570" s="17" t="inlineStr">
        <is>
          <t>alta</t>
        </is>
      </c>
      <c r="L570" s="17" t="inlineStr">
        <is>
          <t>preenchido</t>
        </is>
      </c>
    </row>
    <row r="571">
      <c r="A571" s="17" t="inlineStr">
        <is>
          <t>EV-9c3ea7fdcc</t>
        </is>
      </c>
      <c r="B571" s="17" t="inlineStr">
        <is>
          <t>formulario</t>
        </is>
      </c>
      <c r="C571" s="17" t="inlineStr">
        <is>
          <t>dia1-2</t>
        </is>
      </c>
      <c r="D571" s="17" t="inlineStr">
        <is>
          <t>1.4 Canais de aquisição</t>
        </is>
      </c>
      <c r="E571" s="17" t="n"/>
      <c r="F571" s="17" t="inlineStr">
        <is>
          <t>NEGÓCIO &amp; GTM</t>
        </is>
      </c>
      <c r="G571" s="17" t="inlineStr">
        <is>
          <t>TRANSVERSAL</t>
        </is>
      </c>
      <c r="H571" s="17" t="inlineStr">
        <is>
          <t>DOC-C09-018</t>
        </is>
      </c>
      <c r="I571" s="18" t="inlineStr">
        <is>
          <t>DOC-C05-001 (Arquitetura das plataformas): “OWNED 01 executar.com / Blog — Fonte canônica do conteúdo; OWNED 02 Biblioteca Executar; OWNED 03 E-mail / newsletter; DISTRIBUIÇÃO 01 YouTube; 02 Instagram; 03 TikTok; 04 LinkedIn”; e “Instagram, YouTube, TikTok e LinkedIn não são plataformas proprietárias; são plataformas alugadas/terceiras.” | DOC-C05-001 (SSOT Studio, item 13 Aquisição): “Conteúdo → Showroom → Formulário visual → Encontro → Projeto.” | DOC-C08-004: “CH-001 Experimentar Executar → página do aplicativo”, “CH-003 Explorar a biblioteca”, “CH-007 Ver o livro → ligação de afiliado”, “CH-010 Entrar na lista → formulário”. | DOC-C02-043: “Pacote: 1 artigo, 1 newsletter, 1 vídeo principal, 3 vídeos curtos, 2 carrosséis, 6 posts curtos, 1 infográfico, 1 checklist, 1 lead magnet e 1 landing page — 18 ativos principais.” | DOC-C09-018: “Núcleo inicial — Russell A. Barkley · Vencendo o TDAH Adulto; Russell A. Barkley · Executive Functions; Ana Beatriz Barbosa Silva · Mentes Inquietas.”</t>
        </is>
      </c>
      <c r="J571" s="17" t="n"/>
      <c r="K571" s="17" t="inlineStr">
        <is>
          <t>alta</t>
        </is>
      </c>
      <c r="L571" s="17" t="inlineStr">
        <is>
          <t>preenchido</t>
        </is>
      </c>
    </row>
    <row r="572">
      <c r="A572" s="17" t="inlineStr">
        <is>
          <t>EV-2d5ab1dac0</t>
        </is>
      </c>
      <c r="B572" s="17" t="inlineStr">
        <is>
          <t>formulario</t>
        </is>
      </c>
      <c r="C572" s="17" t="inlineStr">
        <is>
          <t>dia1-2</t>
        </is>
      </c>
      <c r="D572" s="17" t="inlineStr">
        <is>
          <t>1.4 Canais de aquisição</t>
        </is>
      </c>
      <c r="E572" s="17" t="n"/>
      <c r="F572" s="17" t="inlineStr">
        <is>
          <t>NEGÓCIO &amp; GTM</t>
        </is>
      </c>
      <c r="G572" s="17" t="inlineStr">
        <is>
          <t>TRANSVERSAL</t>
        </is>
      </c>
      <c r="H572" s="17" t="inlineStr">
        <is>
          <t>DOC-C12-004</t>
        </is>
      </c>
      <c r="I572" s="18" t="inlineStr">
        <is>
          <t>DOC-C05-001 (Arquitetura das plataformas): “OWNED 01 executar.com / Blog — Fonte canônica do conteúdo; OWNED 02 Biblioteca Executar; OWNED 03 E-mail / newsletter; DISTRIBUIÇÃO 01 YouTube; 02 Instagram; 03 TikTok; 04 LinkedIn”; e “Instagram, YouTube, TikTok e LinkedIn não são plataformas proprietárias; são plataformas alugadas/terceiras.” | DOC-C05-001 (SSOT Studio, item 13 Aquisição): “Conteúdo → Showroom → Formulário visual → Encontro → Projeto.” | DOC-C08-004: “CH-001 Experimentar Executar → página do aplicativo”, “CH-003 Explorar a biblioteca”, “CH-007 Ver o livro → ligação de afiliado”, “CH-010 Entrar na lista → formulário”. | DOC-C02-043: “Pacote: 1 artigo, 1 newsletter, 1 vídeo principal, 3 vídeos curtos, 2 carrosséis, 6 posts curtos, 1 infográfico, 1 checklist, 1 lead magnet e 1 landing page — 18 ativos principais.” | DOC-C09-018: “Núcleo inicial — Russell A. Barkley · Vencendo o TDAH Adulto; Russell A. Barkley · Executive Functions; Ana Beatriz Barbosa Silva · Mentes Inquietas.”</t>
        </is>
      </c>
      <c r="J572" s="17" t="n"/>
      <c r="K572" s="17" t="inlineStr">
        <is>
          <t>alta</t>
        </is>
      </c>
      <c r="L572" s="17" t="inlineStr">
        <is>
          <t>preenchido</t>
        </is>
      </c>
    </row>
    <row r="573">
      <c r="A573" s="17" t="inlineStr">
        <is>
          <t>EV-739a817b64</t>
        </is>
      </c>
      <c r="B573" s="17" t="inlineStr">
        <is>
          <t>formulario</t>
        </is>
      </c>
      <c r="C573" s="17" t="inlineStr">
        <is>
          <t>dia1-2</t>
        </is>
      </c>
      <c r="D573" s="17" t="inlineStr">
        <is>
          <t>1.5 Métrica North Star</t>
        </is>
      </c>
      <c r="E573" s="17" t="n"/>
      <c r="F573" s="17" t="inlineStr">
        <is>
          <t>NEGÓCIO &amp; GTM</t>
        </is>
      </c>
      <c r="G573" s="17" t="inlineStr">
        <is>
          <t>ECO-01 (candidato VALUE_EVENT-01) e ECO-02 (meta de output)</t>
        </is>
      </c>
      <c r="H573" s="17" t="inlineStr">
        <is>
          <t>DOC-C07-009</t>
        </is>
      </c>
      <c r="I573" s="18" t="inlineStr">
        <is>
          <t>DOC-C07-009 (objeto telemetry): “value_event_01: Projeto real → contexto interpretado → próxima ação válida → ação executada → conclusão/evidência registrada”; “functional_efficacy_endpoints: time_to_next_action, resume_latency, completion_rate, context_reconstruction, execution_cycles_per_week, abandonment_rate.” | DOC-C02-043 (Objetivo SMART da primeira fase): “Mensurável: publicar 18 ativos em 14 dias, com artigo dentro de 1.200–1.800 palavras”; “Não estabelecer ainda metas arbitrárias de seguidores ou leads sem baseline.” | DOC-C02-039 (rodapé do BMC): “métricas não informadas permanecem desconhecidas”. | DOC-C16-003 (MED-001) lista apenas o que verificar (chamada→destino, formulário→recebimento, download→arquivo), sem métrica-alvo.</t>
        </is>
      </c>
      <c r="J573" s="17" t="n"/>
      <c r="K573" s="17" t="inlineStr">
        <is>
          <t>media</t>
        </is>
      </c>
      <c r="L573" s="17" t="inlineStr">
        <is>
          <t>parcial</t>
        </is>
      </c>
    </row>
    <row r="574">
      <c r="A574" s="17" t="inlineStr">
        <is>
          <t>EV-1d0f1179a1</t>
        </is>
      </c>
      <c r="B574" s="17" t="inlineStr">
        <is>
          <t>formulario</t>
        </is>
      </c>
      <c r="C574" s="17" t="inlineStr">
        <is>
          <t>dia1-2</t>
        </is>
      </c>
      <c r="D574" s="17" t="inlineStr">
        <is>
          <t>1.5 Métrica North Star</t>
        </is>
      </c>
      <c r="E574" s="17" t="n"/>
      <c r="F574" s="17" t="inlineStr">
        <is>
          <t>NEGÓCIO &amp; GTM</t>
        </is>
      </c>
      <c r="G574" s="17" t="inlineStr">
        <is>
          <t>ECO-01 (candidato VALUE_EVENT-01) e ECO-02 (meta de output)</t>
        </is>
      </c>
      <c r="H574" s="17" t="inlineStr">
        <is>
          <t>DOC-C02-043</t>
        </is>
      </c>
      <c r="I574" s="18" t="inlineStr">
        <is>
          <t>DOC-C07-009 (objeto telemetry): “value_event_01: Projeto real → contexto interpretado → próxima ação válida → ação executada → conclusão/evidência registrada”; “functional_efficacy_endpoints: time_to_next_action, resume_latency, completion_rate, context_reconstruction, execution_cycles_per_week, abandonment_rate.” | DOC-C02-043 (Objetivo SMART da primeira fase): “Mensurável: publicar 18 ativos em 14 dias, com artigo dentro de 1.200–1.800 palavras”; “Não estabelecer ainda metas arbitrárias de seguidores ou leads sem baseline.” | DOC-C02-039 (rodapé do BMC): “métricas não informadas permanecem desconhecidas”. | DOC-C16-003 (MED-001) lista apenas o que verificar (chamada→destino, formulário→recebimento, download→arquivo), sem métrica-alvo.</t>
        </is>
      </c>
      <c r="J574" s="17" t="n"/>
      <c r="K574" s="17" t="inlineStr">
        <is>
          <t>media</t>
        </is>
      </c>
      <c r="L574" s="17" t="inlineStr">
        <is>
          <t>parcial</t>
        </is>
      </c>
    </row>
    <row r="575">
      <c r="A575" s="17" t="inlineStr">
        <is>
          <t>EV-8ee7ae54c3</t>
        </is>
      </c>
      <c r="B575" s="17" t="inlineStr">
        <is>
          <t>formulario</t>
        </is>
      </c>
      <c r="C575" s="17" t="inlineStr">
        <is>
          <t>dia1-2</t>
        </is>
      </c>
      <c r="D575" s="17" t="inlineStr">
        <is>
          <t>1.5 Métrica North Star</t>
        </is>
      </c>
      <c r="E575" s="17" t="n"/>
      <c r="F575" s="17" t="inlineStr">
        <is>
          <t>NEGÓCIO &amp; GTM</t>
        </is>
      </c>
      <c r="G575" s="17" t="inlineStr">
        <is>
          <t>ECO-01 (candidato VALUE_EVENT-01) e ECO-02 (meta de output)</t>
        </is>
      </c>
      <c r="H575" s="17" t="inlineStr">
        <is>
          <t>DOC-C02-039</t>
        </is>
      </c>
      <c r="I575" s="18" t="inlineStr">
        <is>
          <t>DOC-C07-009 (objeto telemetry): “value_event_01: Projeto real → contexto interpretado → próxima ação válida → ação executada → conclusão/evidência registrada”; “functional_efficacy_endpoints: time_to_next_action, resume_latency, completion_rate, context_reconstruction, execution_cycles_per_week, abandonment_rate.” | DOC-C02-043 (Objetivo SMART da primeira fase): “Mensurável: publicar 18 ativos em 14 dias, com artigo dentro de 1.200–1.800 palavras”; “Não estabelecer ainda metas arbitrárias de seguidores ou leads sem baseline.” | DOC-C02-039 (rodapé do BMC): “métricas não informadas permanecem desconhecidas”. | DOC-C16-003 (MED-001) lista apenas o que verificar (chamada→destino, formulário→recebimento, download→arquivo), sem métrica-alvo.</t>
        </is>
      </c>
      <c r="J575" s="17" t="n"/>
      <c r="K575" s="17" t="inlineStr">
        <is>
          <t>media</t>
        </is>
      </c>
      <c r="L575" s="17" t="inlineStr">
        <is>
          <t>parcial</t>
        </is>
      </c>
    </row>
    <row r="576">
      <c r="A576" s="17" t="inlineStr">
        <is>
          <t>EV-4b0e0bbbd7</t>
        </is>
      </c>
      <c r="B576" s="17" t="inlineStr">
        <is>
          <t>formulario</t>
        </is>
      </c>
      <c r="C576" s="17" t="inlineStr">
        <is>
          <t>dia1-2</t>
        </is>
      </c>
      <c r="D576" s="17" t="inlineStr">
        <is>
          <t>1.5 Métrica North Star</t>
        </is>
      </c>
      <c r="E576" s="17" t="n"/>
      <c r="F576" s="17" t="inlineStr">
        <is>
          <t>NEGÓCIO &amp; GTM</t>
        </is>
      </c>
      <c r="G576" s="17" t="inlineStr">
        <is>
          <t>ECO-01 (candidato VALUE_EVENT-01) e ECO-02 (meta de output)</t>
        </is>
      </c>
      <c r="H576" s="17" t="inlineStr">
        <is>
          <t>DOC-C16-003</t>
        </is>
      </c>
      <c r="I576" s="18" t="inlineStr">
        <is>
          <t>DOC-C07-009 (objeto telemetry): “value_event_01: Projeto real → contexto interpretado → próxima ação válida → ação executada → conclusão/evidência registrada”; “functional_efficacy_endpoints: time_to_next_action, resume_latency, completion_rate, context_reconstruction, execution_cycles_per_week, abandonment_rate.” | DOC-C02-043 (Objetivo SMART da primeira fase): “Mensurável: publicar 18 ativos em 14 dias, com artigo dentro de 1.200–1.800 palavras”; “Não estabelecer ainda metas arbitrárias de seguidores ou leads sem baseline.” | DOC-C02-039 (rodapé do BMC): “métricas não informadas permanecem desconhecidas”. | DOC-C16-003 (MED-001) lista apenas o que verificar (chamada→destino, formulário→recebimento, download→arquivo), sem métrica-alvo.</t>
        </is>
      </c>
      <c r="J576" s="17" t="n"/>
      <c r="K576" s="17" t="inlineStr">
        <is>
          <t>media</t>
        </is>
      </c>
      <c r="L576" s="17" t="inlineStr">
        <is>
          <t>parcial</t>
        </is>
      </c>
    </row>
    <row r="577">
      <c r="A577" s="17" t="inlineStr">
        <is>
          <t>EV-7d2b3e236a</t>
        </is>
      </c>
      <c r="B577" s="17" t="inlineStr">
        <is>
          <t>formulario</t>
        </is>
      </c>
      <c r="C577" s="17" t="inlineStr">
        <is>
          <t>dia1-2</t>
        </is>
      </c>
      <c r="D577" s="17" t="inlineStr">
        <is>
          <t>1.5 Métrica North Star</t>
        </is>
      </c>
      <c r="E577" s="17" t="n"/>
      <c r="F577" s="17" t="inlineStr">
        <is>
          <t>NEGÓCIO &amp; GTM</t>
        </is>
      </c>
      <c r="G577" s="17" t="inlineStr">
        <is>
          <t>ECO-01 (candidato VALUE_EVENT-01) e ECO-02 (meta de output)</t>
        </is>
      </c>
      <c r="H577" s="17" t="inlineStr">
        <is>
          <t>DOC-C16-006</t>
        </is>
      </c>
      <c r="I577" s="18" t="inlineStr">
        <is>
          <t>DOC-C07-009 (objeto telemetry): “value_event_01: Projeto real → contexto interpretado → próxima ação válida → ação executada → conclusão/evidência registrada”; “functional_efficacy_endpoints: time_to_next_action, resume_latency, completion_rate, context_reconstruction, execution_cycles_per_week, abandonment_rate.” | DOC-C02-043 (Objetivo SMART da primeira fase): “Mensurável: publicar 18 ativos em 14 dias, com artigo dentro de 1.200–1.800 palavras”; “Não estabelecer ainda metas arbitrárias de seguidores ou leads sem baseline.” | DOC-C02-039 (rodapé do BMC): “métricas não informadas permanecem desconhecidas”. | DOC-C16-003 (MED-001) lista apenas o que verificar (chamada→destino, formulário→recebimento, download→arquivo), sem métrica-alvo.</t>
        </is>
      </c>
      <c r="J577" s="17" t="n"/>
      <c r="K577" s="17" t="inlineStr">
        <is>
          <t>media</t>
        </is>
      </c>
      <c r="L577" s="17" t="inlineStr">
        <is>
          <t>parcial</t>
        </is>
      </c>
    </row>
    <row r="578">
      <c r="A578" s="17" t="inlineStr">
        <is>
          <t>EV-618df760dd</t>
        </is>
      </c>
      <c r="B578" s="17" t="inlineStr">
        <is>
          <t>formulario</t>
        </is>
      </c>
      <c r="C578" s="17" t="inlineStr">
        <is>
          <t>dia1-2</t>
        </is>
      </c>
      <c r="D578" s="17" t="inlineStr">
        <is>
          <t>1.6 Métricas guardrail</t>
        </is>
      </c>
      <c r="E578" s="17" t="n"/>
      <c r="F578" s="17" t="inlineStr">
        <is>
          <t>NEGÓCIO &amp; GTM</t>
        </is>
      </c>
      <c r="G578" s="18" t="inlineStr">
        <is>
          <t>TRANSVERSAL — econômico e de claims em ECO-01; operacional no GTM 07/09</t>
        </is>
      </c>
      <c r="H578" s="17" t="inlineStr">
        <is>
          <t>DOC-C07-009</t>
        </is>
      </c>
      <c r="I578" s="18" t="inlineStr">
        <is>
          <t>DOC-C07-009 (CAC-01): “Usar TARGET-CAC provisório ≤ R$70 e alerta/limite de aproximadamente R$95 até existir CAC observado.” | DOC-C07-009 (claims_policy.prohibited_now): lista literal dos seis claims proibidos. | DOC-C07-009 (Invariantes): “modelo econômico ≠ unit economics observado”. | DOC-C06-001 (D11, DoD do dia): “Broken links = 0; fluxo de conversão testado”; D12: “Tudo agendado; backlog crítico = 0; GTM READY.” | DOC-C08-007: “não existe entrega crítica aguardando produção.”</t>
        </is>
      </c>
      <c r="J578" s="17" t="n"/>
      <c r="K578" s="17" t="inlineStr">
        <is>
          <t>alta</t>
        </is>
      </c>
      <c r="L578" s="17" t="inlineStr">
        <is>
          <t>preenchido</t>
        </is>
      </c>
    </row>
    <row r="579">
      <c r="A579" s="17" t="inlineStr">
        <is>
          <t>EV-a569044d3a</t>
        </is>
      </c>
      <c r="B579" s="17" t="inlineStr">
        <is>
          <t>formulario</t>
        </is>
      </c>
      <c r="C579" s="17" t="inlineStr">
        <is>
          <t>dia1-2</t>
        </is>
      </c>
      <c r="D579" s="17" t="inlineStr">
        <is>
          <t>1.6 Métricas guardrail</t>
        </is>
      </c>
      <c r="E579" s="17" t="n"/>
      <c r="F579" s="17" t="inlineStr">
        <is>
          <t>NEGÓCIO &amp; GTM</t>
        </is>
      </c>
      <c r="G579" s="18" t="inlineStr">
        <is>
          <t>TRANSVERSAL — econômico e de claims em ECO-01; operacional no GTM 07/09</t>
        </is>
      </c>
      <c r="H579" s="17" t="inlineStr">
        <is>
          <t>DOC-C06-001</t>
        </is>
      </c>
      <c r="I579" s="18" t="inlineStr">
        <is>
          <t>DOC-C07-009 (CAC-01): “Usar TARGET-CAC provisório ≤ R$70 e alerta/limite de aproximadamente R$95 até existir CAC observado.” | DOC-C07-009 (claims_policy.prohibited_now): lista literal dos seis claims proibidos. | DOC-C07-009 (Invariantes): “modelo econômico ≠ unit economics observado”. | DOC-C06-001 (D11, DoD do dia): “Broken links = 0; fluxo de conversão testado”; D12: “Tudo agendado; backlog crítico = 0; GTM READY.” | DOC-C08-007: “não existe entrega crítica aguardando produção.”</t>
        </is>
      </c>
      <c r="J579" s="17" t="n"/>
      <c r="K579" s="17" t="inlineStr">
        <is>
          <t>alta</t>
        </is>
      </c>
      <c r="L579" s="17" t="inlineStr">
        <is>
          <t>preenchido</t>
        </is>
      </c>
    </row>
    <row r="580">
      <c r="A580" s="17" t="inlineStr">
        <is>
          <t>EV-dc28028810</t>
        </is>
      </c>
      <c r="B580" s="17" t="inlineStr">
        <is>
          <t>formulario</t>
        </is>
      </c>
      <c r="C580" s="17" t="inlineStr">
        <is>
          <t>dia1-2</t>
        </is>
      </c>
      <c r="D580" s="17" t="inlineStr">
        <is>
          <t>1.6 Métricas guardrail</t>
        </is>
      </c>
      <c r="E580" s="17" t="n"/>
      <c r="F580" s="17" t="inlineStr">
        <is>
          <t>NEGÓCIO &amp; GTM</t>
        </is>
      </c>
      <c r="G580" s="18" t="inlineStr">
        <is>
          <t>TRANSVERSAL — econômico e de claims em ECO-01; operacional no GTM 07/09</t>
        </is>
      </c>
      <c r="H580" s="17" t="inlineStr">
        <is>
          <t>DOC-C08-007</t>
        </is>
      </c>
      <c r="I580" s="18" t="inlineStr">
        <is>
          <t>DOC-C07-009 (CAC-01): “Usar TARGET-CAC provisório ≤ R$70 e alerta/limite de aproximadamente R$95 até existir CAC observado.” | DOC-C07-009 (claims_policy.prohibited_now): lista literal dos seis claims proibidos. | DOC-C07-009 (Invariantes): “modelo econômico ≠ unit economics observado”. | DOC-C06-001 (D11, DoD do dia): “Broken links = 0; fluxo de conversão testado”; D12: “Tudo agendado; backlog crítico = 0; GTM READY.” | DOC-C08-007: “não existe entrega crítica aguardando produção.”</t>
        </is>
      </c>
      <c r="J580" s="17" t="n"/>
      <c r="K580" s="17" t="inlineStr">
        <is>
          <t>alta</t>
        </is>
      </c>
      <c r="L580" s="17" t="inlineStr">
        <is>
          <t>preenchido</t>
        </is>
      </c>
    </row>
    <row r="581">
      <c r="A581" s="17" t="inlineStr">
        <is>
          <t>EV-a187e10abf</t>
        </is>
      </c>
      <c r="B581" s="17" t="inlineStr">
        <is>
          <t>formulario</t>
        </is>
      </c>
      <c r="C581" s="17" t="inlineStr">
        <is>
          <t>dia1-2</t>
        </is>
      </c>
      <c r="D581" s="17" t="inlineStr">
        <is>
          <t>1.7 CAC (custo de aquisição)</t>
        </is>
      </c>
      <c r="E581" s="17" t="n"/>
      <c r="F581" s="17" t="inlineStr">
        <is>
          <t>NEGÓCIO &amp; GTM</t>
        </is>
      </c>
      <c r="G581" s="17" t="inlineStr">
        <is>
          <t>ECO-01</t>
        </is>
      </c>
      <c r="H581" s="17" t="inlineStr">
        <is>
          <t>DOC-C07-009</t>
        </is>
      </c>
      <c r="I581" s="18" t="inlineStr">
        <is>
          <t>DOC-C07-009 (bloco “CAC guardrail”): “≤ R$70 alvo conservador; ≈ R$95 alerta / cenário-base. CAC observado = gasto atribuível / novos clientes pagantes. CPI, CPM, clique e cadastro não substituem CAC.” | Achado CAC-HYP-01 (epistemic_class E, status MODEL_GUARDRAIL): “Guardrail econômico; CAC observado só existe após campanha e aquisição pagante.” | Gap registrado: {gap: CAC, status: “MODELO + GUARDRAIL”, closed: false, remaining: “Campanhas e clientes pagantes.”}</t>
        </is>
      </c>
      <c r="J581" s="17" t="n"/>
      <c r="K581" s="17" t="inlineStr">
        <is>
          <t>media</t>
        </is>
      </c>
      <c r="L581" s="17" t="inlineStr">
        <is>
          <t>parcial</t>
        </is>
      </c>
    </row>
    <row r="582">
      <c r="A582" s="17" t="inlineStr">
        <is>
          <t>EV-6041a75ae4</t>
        </is>
      </c>
      <c r="B582" s="17" t="inlineStr">
        <is>
          <t>formulario</t>
        </is>
      </c>
      <c r="C582" s="17" t="inlineStr">
        <is>
          <t>dia1-2</t>
        </is>
      </c>
      <c r="D582" s="17" t="inlineStr">
        <is>
          <t>1.8 LTV (valor do tempo de vida)</t>
        </is>
      </c>
      <c r="E582" s="17" t="n"/>
      <c r="F582" s="17" t="inlineStr">
        <is>
          <t>NEGÓCIO &amp; GTM</t>
        </is>
      </c>
      <c r="G582" s="17" t="inlineStr">
        <is>
          <t>ECO-01</t>
        </is>
      </c>
      <c r="H582" s="17" t="inlineStr">
        <is>
          <t>DOC-C07-009</t>
        </is>
      </c>
      <c r="I582" s="18" t="inlineStr">
        <is>
          <t>DOC-C07-009 (unit_economics, status MODEL_HYPOTHESIS_NOT_OBSERVED): “arpu_monthly_brl: 49.9; gross_margin_assumption: 0.85; scenarios: optimistic churn 0.10 → ltv 424; base churn 0.15 → ltv 282.77; conservative churn 0.20 → ltv 212.” | Achado LTV-HYP-01: “LTV_MODEL_BASE ≈ R$282,77 sob ARPU R$49,90, margem bruta 85% e churn mensal 15%. […] Não persistir como LTV factual.” | Gap registrado: {gap: LTV, status: “MODELO HIPOTÉTICO”, closed: false, remaining: “Retenção, churn e margem reais.”}</t>
        </is>
      </c>
      <c r="J582" s="17" t="n"/>
      <c r="K582" s="17" t="inlineStr">
        <is>
          <t>media</t>
        </is>
      </c>
      <c r="L582" s="17" t="inlineStr">
        <is>
          <t>parcial</t>
        </is>
      </c>
    </row>
    <row r="583">
      <c r="A583" s="17" t="inlineStr">
        <is>
          <t>EV-f6f2c07d8c</t>
        </is>
      </c>
      <c r="B583" s="17" t="inlineStr">
        <is>
          <t>formulario</t>
        </is>
      </c>
      <c r="C583" s="17" t="inlineStr">
        <is>
          <t>dia1-2</t>
        </is>
      </c>
      <c r="D583" s="17" t="inlineStr">
        <is>
          <t>1.9 Margem por unidade/usuário</t>
        </is>
      </c>
      <c r="E583" s="17" t="n"/>
      <c r="F583" s="17" t="inlineStr">
        <is>
          <t>NEGÓCIO &amp; GTM</t>
        </is>
      </c>
      <c r="G583" s="18" t="inlineStr">
        <is>
          <t>TRANSVERSAL — ECO-01 (premissa 85%), ECO-05 (taxa de canal), ECO-04 (landed cost incompleto)</t>
        </is>
      </c>
      <c r="H583" s="17" t="inlineStr">
        <is>
          <t>DOC-C07-009</t>
        </is>
      </c>
      <c r="I583" s="18" t="inlineStr">
        <is>
          <t>DOC-C07-009: “gross_margin_assumption: 0.85”, dentro de unit_economics com status MODEL_HYPOTHESIS_NOT_OBSERVED. | DOC-C05-001 (Hotmart e margem): “a página comercial da Hotmart já anuncia 9,9% + R$2,49. Eu faria suas projeções usando 9,9% + R$2,49, por prudência”; e “valor percebido → benchmark → posicionamento → taxa do canal → CAC → margem de contribuição.” | DOC-C05-001 (Unit Economics — produtos físicos): tabela do Timer 45 com “Preço do fornecedor R$39” e cinco linhas “preencher”; “O preço deve nascer de Y, e não dos R$39.” | DOC-C09-008: “Timer 45 | ferramenta funcional | validar custo e preço”.</t>
        </is>
      </c>
      <c r="J583" s="17" t="n"/>
      <c r="K583" s="17" t="inlineStr">
        <is>
          <t>media</t>
        </is>
      </c>
      <c r="L583" s="17" t="inlineStr">
        <is>
          <t>parcial</t>
        </is>
      </c>
    </row>
    <row r="584">
      <c r="A584" s="17" t="inlineStr">
        <is>
          <t>EV-d33c3d8448</t>
        </is>
      </c>
      <c r="B584" s="17" t="inlineStr">
        <is>
          <t>formulario</t>
        </is>
      </c>
      <c r="C584" s="17" t="inlineStr">
        <is>
          <t>dia1-2</t>
        </is>
      </c>
      <c r="D584" s="17" t="inlineStr">
        <is>
          <t>1.9 Margem por unidade/usuário</t>
        </is>
      </c>
      <c r="E584" s="17" t="n"/>
      <c r="F584" s="17" t="inlineStr">
        <is>
          <t>NEGÓCIO &amp; GTM</t>
        </is>
      </c>
      <c r="G584" s="18" t="inlineStr">
        <is>
          <t>TRANSVERSAL — ECO-01 (premissa 85%), ECO-05 (taxa de canal), ECO-04 (landed cost incompleto)</t>
        </is>
      </c>
      <c r="H584" s="17" t="inlineStr">
        <is>
          <t>DOC-C05-001</t>
        </is>
      </c>
      <c r="I584" s="18" t="inlineStr">
        <is>
          <t>DOC-C07-009: “gross_margin_assumption: 0.85”, dentro de unit_economics com status MODEL_HYPOTHESIS_NOT_OBSERVED. | DOC-C05-001 (Hotmart e margem): “a página comercial da Hotmart já anuncia 9,9% + R$2,49. Eu faria suas projeções usando 9,9% + R$2,49, por prudência”; e “valor percebido → benchmark → posicionamento → taxa do canal → CAC → margem de contribuição.” | DOC-C05-001 (Unit Economics — produtos físicos): tabela do Timer 45 com “Preço do fornecedor R$39” e cinco linhas “preencher”; “O preço deve nascer de Y, e não dos R$39.” | DOC-C09-008: “Timer 45 | ferramenta funcional | validar custo e preço”.</t>
        </is>
      </c>
      <c r="J584" s="17" t="n"/>
      <c r="K584" s="17" t="inlineStr">
        <is>
          <t>media</t>
        </is>
      </c>
      <c r="L584" s="17" t="inlineStr">
        <is>
          <t>parcial</t>
        </is>
      </c>
    </row>
    <row r="585">
      <c r="A585" s="17" t="inlineStr">
        <is>
          <t>EV-13b6cef14c</t>
        </is>
      </c>
      <c r="B585" s="17" t="inlineStr">
        <is>
          <t>formulario</t>
        </is>
      </c>
      <c r="C585" s="17" t="inlineStr">
        <is>
          <t>dia1-2</t>
        </is>
      </c>
      <c r="D585" s="17" t="inlineStr">
        <is>
          <t>1.9 Margem por unidade/usuário</t>
        </is>
      </c>
      <c r="E585" s="17" t="n"/>
      <c r="F585" s="17" t="inlineStr">
        <is>
          <t>NEGÓCIO &amp; GTM</t>
        </is>
      </c>
      <c r="G585" s="18" t="inlineStr">
        <is>
          <t>TRANSVERSAL — ECO-01 (premissa 85%), ECO-05 (taxa de canal), ECO-04 (landed cost incompleto)</t>
        </is>
      </c>
      <c r="H585" s="17" t="inlineStr">
        <is>
          <t>DOC-C09-008</t>
        </is>
      </c>
      <c r="I585" s="18" t="inlineStr">
        <is>
          <t>DOC-C07-009: “gross_margin_assumption: 0.85”, dentro de unit_economics com status MODEL_HYPOTHESIS_NOT_OBSERVED. | DOC-C05-001 (Hotmart e margem): “a página comercial da Hotmart já anuncia 9,9% + R$2,49. Eu faria suas projeções usando 9,9% + R$2,49, por prudência”; e “valor percebido → benchmark → posicionamento → taxa do canal → CAC → margem de contribuição.” | DOC-C05-001 (Unit Economics — produtos físicos): tabela do Timer 45 com “Preço do fornecedor R$39” e cinco linhas “preencher”; “O preço deve nascer de Y, e não dos R$39.” | DOC-C09-008: “Timer 45 | ferramenta funcional | validar custo e preço”.</t>
        </is>
      </c>
      <c r="J585" s="17" t="n"/>
      <c r="K585" s="17" t="inlineStr">
        <is>
          <t>media</t>
        </is>
      </c>
      <c r="L585" s="17" t="inlineStr">
        <is>
          <t>parcial</t>
        </is>
      </c>
    </row>
    <row r="586">
      <c r="A586" s="17" t="inlineStr">
        <is>
          <t>EV-4388c440b5</t>
        </is>
      </c>
      <c r="B586" s="17" t="inlineStr">
        <is>
          <t>formulario</t>
        </is>
      </c>
      <c r="C586" s="17" t="inlineStr">
        <is>
          <t>dia1-2</t>
        </is>
      </c>
      <c r="D586" s="17" t="inlineStr">
        <is>
          <t>1.10 Ponto de equilíbrio (breakeven)</t>
        </is>
      </c>
      <c r="E586" s="17" t="n"/>
      <c r="F586" s="17" t="inlineStr">
        <is>
          <t>NEGÓCIO &amp; GTM</t>
        </is>
      </c>
      <c r="G586" s="17" t="inlineStr">
        <is>
          <t>TRANSVERSAL</t>
        </is>
      </c>
      <c r="H586" s="17" t="inlineStr">
        <is>
          <t>DOC-C04-001</t>
        </is>
      </c>
      <c r="I586" s="18" t="inlineStr">
        <is>
          <t>Busca literal por “break-even”, “breakeven” e “ponto de equilíbrio” em todos os 214 arquivos retorna um único hit: DOC-C04-001 (Cronograma.md), que é o cronograma do próprio formulário e apenas lista o nome do campo — “1.10 | Ponto de equilíbrio (breakeven) | formulário”. DOC-C07-009, o documento econômico mais avançado do corpus, cobre preço, CAC, LTV e PMF, mas não calcula breakeven, e classifica todo o bloco de unit economics como MODEL_HYPOTHESIS_NOT_OBSERVED. DOC-C05-001 discute margem, markup e capital de giro, mas nunca ponto de equilíbrio.</t>
        </is>
      </c>
      <c r="J586" s="17" t="n"/>
      <c r="K586" s="17" t="inlineStr">
        <is>
          <t>alta</t>
        </is>
      </c>
      <c r="L586" s="17" t="inlineStr">
        <is>
          <t>lacuna</t>
        </is>
      </c>
    </row>
    <row r="587">
      <c r="A587" s="17" t="inlineStr">
        <is>
          <t>EV-b80523795c</t>
        </is>
      </c>
      <c r="B587" s="17" t="inlineStr">
        <is>
          <t>formulario</t>
        </is>
      </c>
      <c r="C587" s="17" t="inlineStr">
        <is>
          <t>dia1-2</t>
        </is>
      </c>
      <c r="D587" s="17" t="inlineStr">
        <is>
          <t>1.10 Ponto de equilíbrio (breakeven)</t>
        </is>
      </c>
      <c r="E587" s="17" t="n"/>
      <c r="F587" s="17" t="inlineStr">
        <is>
          <t>NEGÓCIO &amp; GTM</t>
        </is>
      </c>
      <c r="G587" s="17" t="inlineStr">
        <is>
          <t>TRANSVERSAL</t>
        </is>
      </c>
      <c r="H587" s="17" t="inlineStr">
        <is>
          <t>DOC-C07-009</t>
        </is>
      </c>
      <c r="I587" s="18" t="inlineStr">
        <is>
          <t>Busca literal por “break-even”, “breakeven” e “ponto de equilíbrio” em todos os 214 arquivos retorna um único hit: DOC-C04-001 (Cronograma.md), que é o cronograma do próprio formulário e apenas lista o nome do campo — “1.10 | Ponto de equilíbrio (breakeven) | formulário”. DOC-C07-009, o documento econômico mais avançado do corpus, cobre preço, CAC, LTV e PMF, mas não calcula breakeven, e classifica todo o bloco de unit economics como MODEL_HYPOTHESIS_NOT_OBSERVED. DOC-C05-001 discute margem, markup e capital de giro, mas nunca ponto de equilíbrio.</t>
        </is>
      </c>
      <c r="J587" s="17" t="n"/>
      <c r="K587" s="17" t="inlineStr">
        <is>
          <t>alta</t>
        </is>
      </c>
      <c r="L587" s="17" t="inlineStr">
        <is>
          <t>lacuna</t>
        </is>
      </c>
    </row>
    <row r="588">
      <c r="A588" s="17" t="inlineStr">
        <is>
          <t>EV-8a4134ece1</t>
        </is>
      </c>
      <c r="B588" s="17" t="inlineStr">
        <is>
          <t>formulario</t>
        </is>
      </c>
      <c r="C588" s="17" t="inlineStr">
        <is>
          <t>dia1-2</t>
        </is>
      </c>
      <c r="D588" s="17" t="inlineStr">
        <is>
          <t>1.10 Ponto de equilíbrio (breakeven)</t>
        </is>
      </c>
      <c r="E588" s="17" t="n"/>
      <c r="F588" s="17" t="inlineStr">
        <is>
          <t>NEGÓCIO &amp; GTM</t>
        </is>
      </c>
      <c r="G588" s="17" t="inlineStr">
        <is>
          <t>TRANSVERSAL</t>
        </is>
      </c>
      <c r="H588" s="17" t="inlineStr">
        <is>
          <t>DOC-C05-001</t>
        </is>
      </c>
      <c r="I588" s="18" t="inlineStr">
        <is>
          <t>Busca literal por “break-even”, “breakeven” e “ponto de equilíbrio” em todos os 214 arquivos retorna um único hit: DOC-C04-001 (Cronograma.md), que é o cronograma do próprio formulário e apenas lista o nome do campo — “1.10 | Ponto de equilíbrio (breakeven) | formulário”. DOC-C07-009, o documento econômico mais avançado do corpus, cobre preço, CAC, LTV e PMF, mas não calcula breakeven, e classifica todo o bloco de unit economics como MODEL_HYPOTHESIS_NOT_OBSERVED. DOC-C05-001 discute margem, markup e capital de giro, mas nunca ponto de equilíbrio.</t>
        </is>
      </c>
      <c r="J588" s="17" t="n"/>
      <c r="K588" s="17" t="inlineStr">
        <is>
          <t>alta</t>
        </is>
      </c>
      <c r="L588" s="17" t="inlineStr">
        <is>
          <t>lacuna</t>
        </is>
      </c>
    </row>
    <row r="589">
      <c r="A589" s="17" t="inlineStr">
        <is>
          <t>EV-90e61f9516</t>
        </is>
      </c>
      <c r="B589" s="17" t="inlineStr">
        <is>
          <t>formulario</t>
        </is>
      </c>
      <c r="C589" s="17" t="inlineStr">
        <is>
          <t>dia1-2</t>
        </is>
      </c>
      <c r="D589" s="17" t="inlineStr">
        <is>
          <t>1.11 Teto de gasto de infraestrutura</t>
        </is>
      </c>
      <c r="E589" s="17" t="n"/>
      <c r="F589" s="17" t="inlineStr">
        <is>
          <t>NEGÓCIO &amp; GTM</t>
        </is>
      </c>
      <c r="G589" s="17" t="inlineStr">
        <is>
          <t>ECO-01 (e ECO-02, site/CMS)</t>
        </is>
      </c>
      <c r="H589" s="17" t="inlineStr">
        <is>
          <t>DOC-C04-002</t>
        </is>
      </c>
      <c r="I589" s="18" t="inlineStr">
        <is>
          <t>A infraestrutura está nomeada em vários documentos — DOC-C04-002 cita monorepo com bun, apps/app em Next.js, apps/mobile em Expo 57, Clerk, Sentry, Vercel Preview, “AWS/Aurora” e app local-first via localStorage; DOC-C02-017 cita “Vercel Payload Website Starter + Next.js + Payload CMS + PostgreSQL/Neon + Vercel Blob”, mais “Vercel Web Analytics + Speed Insights”. Nenhum desses documentos, nem DOC-C07-009, declara valor monetário de gasto de infraestrutura ou teto. Busca por “teto de gasto”, “custo de infra”, “orçamento de infra”, “free tier” e “plano gratuito” em todo o corpus não retorna ocorrências.</t>
        </is>
      </c>
      <c r="J589" s="17" t="n"/>
      <c r="K589" s="17" t="inlineStr">
        <is>
          <t>alta</t>
        </is>
      </c>
      <c r="L589" s="17" t="inlineStr">
        <is>
          <t>lacuna</t>
        </is>
      </c>
    </row>
    <row r="590">
      <c r="A590" s="17" t="inlineStr">
        <is>
          <t>EV-51cc07f648</t>
        </is>
      </c>
      <c r="B590" s="17" t="inlineStr">
        <is>
          <t>formulario</t>
        </is>
      </c>
      <c r="C590" s="17" t="inlineStr">
        <is>
          <t>dia1-2</t>
        </is>
      </c>
      <c r="D590" s="17" t="inlineStr">
        <is>
          <t>1.11 Teto de gasto de infraestrutura</t>
        </is>
      </c>
      <c r="E590" s="17" t="n"/>
      <c r="F590" s="17" t="inlineStr">
        <is>
          <t>NEGÓCIO &amp; GTM</t>
        </is>
      </c>
      <c r="G590" s="17" t="inlineStr">
        <is>
          <t>ECO-01 (e ECO-02, site/CMS)</t>
        </is>
      </c>
      <c r="H590" s="17" t="inlineStr">
        <is>
          <t>DOC-C02-017</t>
        </is>
      </c>
      <c r="I590" s="18" t="inlineStr">
        <is>
          <t>A infraestrutura está nomeada em vários documentos — DOC-C04-002 cita monorepo com bun, apps/app em Next.js, apps/mobile em Expo 57, Clerk, Sentry, Vercel Preview, “AWS/Aurora” e app local-first via localStorage; DOC-C02-017 cita “Vercel Payload Website Starter + Next.js + Payload CMS + PostgreSQL/Neon + Vercel Blob”, mais “Vercel Web Analytics + Speed Insights”. Nenhum desses documentos, nem DOC-C07-009, declara valor monetário de gasto de infraestrutura ou teto. Busca por “teto de gasto”, “custo de infra”, “orçamento de infra”, “free tier” e “plano gratuito” em todo o corpus não retorna ocorrências.</t>
        </is>
      </c>
      <c r="J590" s="17" t="n"/>
      <c r="K590" s="17" t="inlineStr">
        <is>
          <t>alta</t>
        </is>
      </c>
      <c r="L590" s="17" t="inlineStr">
        <is>
          <t>lacuna</t>
        </is>
      </c>
    </row>
    <row r="591">
      <c r="A591" s="17" t="inlineStr">
        <is>
          <t>EV-df8432de6e</t>
        </is>
      </c>
      <c r="B591" s="17" t="inlineStr">
        <is>
          <t>formulario</t>
        </is>
      </c>
      <c r="C591" s="17" t="inlineStr">
        <is>
          <t>dia1-2</t>
        </is>
      </c>
      <c r="D591" s="17" t="inlineStr">
        <is>
          <t>1.11 Teto de gasto de infraestrutura</t>
        </is>
      </c>
      <c r="E591" s="17" t="n"/>
      <c r="F591" s="17" t="inlineStr">
        <is>
          <t>NEGÓCIO &amp; GTM</t>
        </is>
      </c>
      <c r="G591" s="17" t="inlineStr">
        <is>
          <t>ECO-01 (e ECO-02, site/CMS)</t>
        </is>
      </c>
      <c r="H591" s="17" t="inlineStr">
        <is>
          <t>DOC-C07-009</t>
        </is>
      </c>
      <c r="I591" s="18" t="inlineStr">
        <is>
          <t>A infraestrutura está nomeada em vários documentos — DOC-C04-002 cita monorepo com bun, apps/app em Next.js, apps/mobile em Expo 57, Clerk, Sentry, Vercel Preview, “AWS/Aurora” e app local-first via localStorage; DOC-C02-017 cita “Vercel Payload Website Starter + Next.js + Payload CMS + PostgreSQL/Neon + Vercel Blob”, mais “Vercel Web Analytics + Speed Insights”. Nenhum desses documentos, nem DOC-C07-009, declara valor monetário de gasto de infraestrutura ou teto. Busca por “teto de gasto”, “custo de infra”, “orçamento de infra”, “free tier” e “plano gratuito” em todo o corpus não retorna ocorrências.</t>
        </is>
      </c>
      <c r="J591" s="17" t="n"/>
      <c r="K591" s="17" t="inlineStr">
        <is>
          <t>alta</t>
        </is>
      </c>
      <c r="L591" s="17" t="inlineStr">
        <is>
          <t>lacuna</t>
        </is>
      </c>
    </row>
    <row r="592">
      <c r="A592" s="17" t="inlineStr">
        <is>
          <t>EV-e59c8a6fce</t>
        </is>
      </c>
      <c r="B592" s="17" t="inlineStr">
        <is>
          <t>formulario</t>
        </is>
      </c>
      <c r="C592" s="17" t="inlineStr">
        <is>
          <t>dia1-2</t>
        </is>
      </c>
      <c r="D592" s="17" t="inlineStr">
        <is>
          <t>1.12 Gatilhos de upgrade de infra</t>
        </is>
      </c>
      <c r="E592" s="17" t="n"/>
      <c r="F592" s="17" t="inlineStr">
        <is>
          <t>NEGÓCIO &amp; GTM</t>
        </is>
      </c>
      <c r="G592" s="17" t="inlineStr">
        <is>
          <t>ECO-01</t>
        </is>
      </c>
      <c r="H592" s="17" t="inlineStr">
        <is>
          <t>DOC-C04-002</t>
        </is>
      </c>
      <c r="I592" s="18" t="inlineStr">
        <is>
          <t>Não há gatilho de upgrade de infraestrutura em nenhum documento lido. O único enunciado adjacente é uma decisão de sequenciamento arquitetural, não um gatilho de escala: DOC-C04-002 registra “Integrar o núcleo ao Vercel AI SDK, MCP authority, Clerk e UnitOfWork local antes de Aurora” e “App é local-first: EstadoOperacional hidrata de localStorage via chaveOrganizacao + restaurarEstado, sincroniza com servidor só opcionalmente (remotePersistenceAvailable)”. DOC-C07-009 prevê coletar variable_ai_cost, mas não define limiar de disparo.</t>
        </is>
      </c>
      <c r="J592" s="17" t="n"/>
      <c r="K592" s="17" t="inlineStr">
        <is>
          <t>media</t>
        </is>
      </c>
      <c r="L592" s="17" t="inlineStr">
        <is>
          <t>lacuna</t>
        </is>
      </c>
    </row>
    <row r="593">
      <c r="A593" s="17" t="inlineStr">
        <is>
          <t>EV-157f820223</t>
        </is>
      </c>
      <c r="B593" s="17" t="inlineStr">
        <is>
          <t>formulario</t>
        </is>
      </c>
      <c r="C593" s="17" t="inlineStr">
        <is>
          <t>dia1-2</t>
        </is>
      </c>
      <c r="D593" s="17" t="inlineStr">
        <is>
          <t>1.12 Gatilhos de upgrade de infra</t>
        </is>
      </c>
      <c r="E593" s="17" t="n"/>
      <c r="F593" s="17" t="inlineStr">
        <is>
          <t>NEGÓCIO &amp; GTM</t>
        </is>
      </c>
      <c r="G593" s="17" t="inlineStr">
        <is>
          <t>ECO-01</t>
        </is>
      </c>
      <c r="H593" s="17" t="inlineStr">
        <is>
          <t>DOC-C07-009</t>
        </is>
      </c>
      <c r="I593" s="18" t="inlineStr">
        <is>
          <t>Não há gatilho de upgrade de infraestrutura em nenhum documento lido. O único enunciado adjacente é uma decisão de sequenciamento arquitetural, não um gatilho de escala: DOC-C04-002 registra “Integrar o núcleo ao Vercel AI SDK, MCP authority, Clerk e UnitOfWork local antes de Aurora” e “App é local-first: EstadoOperacional hidrata de localStorage via chaveOrganizacao + restaurarEstado, sincroniza com servidor só opcionalmente (remotePersistenceAvailable)”. DOC-C07-009 prevê coletar variable_ai_cost, mas não define limiar de disparo.</t>
        </is>
      </c>
      <c r="J593" s="17" t="n"/>
      <c r="K593" s="17" t="inlineStr">
        <is>
          <t>media</t>
        </is>
      </c>
      <c r="L593" s="17" t="inlineStr">
        <is>
          <t>lacuna</t>
        </is>
      </c>
    </row>
    <row r="594">
      <c r="A594" s="17" t="inlineStr">
        <is>
          <t>EV-8f7150c43c</t>
        </is>
      </c>
      <c r="B594" s="17" t="inlineStr">
        <is>
          <t>formulario</t>
        </is>
      </c>
      <c r="C594" s="17" t="inlineStr">
        <is>
          <t>dia1-2</t>
        </is>
      </c>
      <c r="D594" s="17" t="inlineStr">
        <is>
          <t>1.13 Análise competitiva</t>
        </is>
      </c>
      <c r="E594" s="17" t="n"/>
      <c r="F594" s="17" t="inlineStr">
        <is>
          <t>NEGÓCIO &amp; GTM</t>
        </is>
      </c>
      <c r="G594" s="18" t="inlineStr">
        <is>
          <t>TRANSVERSAL — forte em ECO-05, ECO-07 e ECO-03; fraco em ECO-01</t>
        </is>
      </c>
      <c r="H594" s="17" t="inlineStr">
        <is>
          <t>DOC-C05-001</t>
        </is>
      </c>
      <c r="I594" s="18" t="inlineStr">
        <is>
          <t>DOC-C05-001 (Benchmark — e-books): “Há ofertas de TDAH por R$ 19,90, R$ 27, R$ 29,90 e R$ 37,90; um e-book comercial da Artmed de Barkley, muito mais extenso e editorialmente tradicional, está em R$ 97,28.” (Benchmark — curso): tabela com seis ofertas de R$89,90 a R$1.997. (Serviços): “a CCN mantém consultoria a R$300/h […]; a Produtive.Me cobra R$2.500 por um sprint de mapeamento de 15 dias e R$4.000 por 30 dias, sem implementação.” | DOC-C01-005: “O framework mais próximo, em termos de estrutura geral, é a ICF/CIF da OMS”; “Há também o WHODAS 2.0, da OMS”. | DOC-C02-031 (item 4, GUARDRAIL): “‘Não encontramos’ não significa ‘não existe’.” | DOC-C02-022 (RC-014): “A APM publicou em 26/08/2026 conteúdo dizendo que projetos também podem falhar cognitivamente.” | DOC-C07-009 (themes_qt): tema “Benchmark de apps concorrentes” com apenas 3 registros.</t>
        </is>
      </c>
      <c r="J594" s="17" t="n"/>
      <c r="K594" s="17" t="inlineStr">
        <is>
          <t>alta</t>
        </is>
      </c>
      <c r="L594" s="17" t="inlineStr">
        <is>
          <t>preenchido</t>
        </is>
      </c>
    </row>
    <row r="595">
      <c r="A595" s="17" t="inlineStr">
        <is>
          <t>EV-597a8c63f1</t>
        </is>
      </c>
      <c r="B595" s="17" t="inlineStr">
        <is>
          <t>formulario</t>
        </is>
      </c>
      <c r="C595" s="17" t="inlineStr">
        <is>
          <t>dia1-2</t>
        </is>
      </c>
      <c r="D595" s="17" t="inlineStr">
        <is>
          <t>1.13 Análise competitiva</t>
        </is>
      </c>
      <c r="E595" s="17" t="n"/>
      <c r="F595" s="17" t="inlineStr">
        <is>
          <t>NEGÓCIO &amp; GTM</t>
        </is>
      </c>
      <c r="G595" s="18" t="inlineStr">
        <is>
          <t>TRANSVERSAL — forte em ECO-05, ECO-07 e ECO-03; fraco em ECO-01</t>
        </is>
      </c>
      <c r="H595" s="17" t="inlineStr">
        <is>
          <t>DOC-C01-005</t>
        </is>
      </c>
      <c r="I595" s="18" t="inlineStr">
        <is>
          <t>DOC-C05-001 (Benchmark — e-books): “Há ofertas de TDAH por R$ 19,90, R$ 27, R$ 29,90 e R$ 37,90; um e-book comercial da Artmed de Barkley, muito mais extenso e editorialmente tradicional, está em R$ 97,28.” (Benchmark — curso): tabela com seis ofertas de R$89,90 a R$1.997. (Serviços): “a CCN mantém consultoria a R$300/h […]; a Produtive.Me cobra R$2.500 por um sprint de mapeamento de 15 dias e R$4.000 por 30 dias, sem implementação.” | DOC-C01-005: “O framework mais próximo, em termos de estrutura geral, é a ICF/CIF da OMS”; “Há também o WHODAS 2.0, da OMS”. | DOC-C02-031 (item 4, GUARDRAIL): “‘Não encontramos’ não significa ‘não existe’.” | DOC-C02-022 (RC-014): “A APM publicou em 26/08/2026 conteúdo dizendo que projetos também podem falhar cognitivamente.” | DOC-C07-009 (themes_qt): tema “Benchmark de apps concorrentes” com apenas 3 registros.</t>
        </is>
      </c>
      <c r="J595" s="17" t="n"/>
      <c r="K595" s="17" t="inlineStr">
        <is>
          <t>alta</t>
        </is>
      </c>
      <c r="L595" s="17" t="inlineStr">
        <is>
          <t>preenchido</t>
        </is>
      </c>
    </row>
    <row r="596">
      <c r="A596" s="17" t="inlineStr">
        <is>
          <t>EV-8c1c53ed40</t>
        </is>
      </c>
      <c r="B596" s="17" t="inlineStr">
        <is>
          <t>formulario</t>
        </is>
      </c>
      <c r="C596" s="17" t="inlineStr">
        <is>
          <t>dia1-2</t>
        </is>
      </c>
      <c r="D596" s="17" t="inlineStr">
        <is>
          <t>1.13 Análise competitiva</t>
        </is>
      </c>
      <c r="E596" s="17" t="n"/>
      <c r="F596" s="17" t="inlineStr">
        <is>
          <t>NEGÓCIO &amp; GTM</t>
        </is>
      </c>
      <c r="G596" s="18" t="inlineStr">
        <is>
          <t>TRANSVERSAL — forte em ECO-05, ECO-07 e ECO-03; fraco em ECO-01</t>
        </is>
      </c>
      <c r="H596" s="17" t="inlineStr">
        <is>
          <t>DOC-C02-031</t>
        </is>
      </c>
      <c r="I596" s="18" t="inlineStr">
        <is>
          <t>DOC-C05-001 (Benchmark — e-books): “Há ofertas de TDAH por R$ 19,90, R$ 27, R$ 29,90 e R$ 37,90; um e-book comercial da Artmed de Barkley, muito mais extenso e editorialmente tradicional, está em R$ 97,28.” (Benchmark — curso): tabela com seis ofertas de R$89,90 a R$1.997. (Serviços): “a CCN mantém consultoria a R$300/h […]; a Produtive.Me cobra R$2.500 por um sprint de mapeamento de 15 dias e R$4.000 por 30 dias, sem implementação.” | DOC-C01-005: “O framework mais próximo, em termos de estrutura geral, é a ICF/CIF da OMS”; “Há também o WHODAS 2.0, da OMS”. | DOC-C02-031 (item 4, GUARDRAIL): “‘Não encontramos’ não significa ‘não existe’.” | DOC-C02-022 (RC-014): “A APM publicou em 26/08/2026 conteúdo dizendo que projetos também podem falhar cognitivamente.” | DOC-C07-009 (themes_qt): tema “Benchmark de apps concorrentes” com apenas 3 registros.</t>
        </is>
      </c>
      <c r="J596" s="17" t="n"/>
      <c r="K596" s="17" t="inlineStr">
        <is>
          <t>alta</t>
        </is>
      </c>
      <c r="L596" s="17" t="inlineStr">
        <is>
          <t>preenchido</t>
        </is>
      </c>
    </row>
    <row r="597">
      <c r="A597" s="17" t="inlineStr">
        <is>
          <t>EV-cd777b07aa</t>
        </is>
      </c>
      <c r="B597" s="17" t="inlineStr">
        <is>
          <t>formulario</t>
        </is>
      </c>
      <c r="C597" s="17" t="inlineStr">
        <is>
          <t>dia1-2</t>
        </is>
      </c>
      <c r="D597" s="17" t="inlineStr">
        <is>
          <t>1.13 Análise competitiva</t>
        </is>
      </c>
      <c r="E597" s="17" t="n"/>
      <c r="F597" s="17" t="inlineStr">
        <is>
          <t>NEGÓCIO &amp; GTM</t>
        </is>
      </c>
      <c r="G597" s="18" t="inlineStr">
        <is>
          <t>TRANSVERSAL — forte em ECO-05, ECO-07 e ECO-03; fraco em ECO-01</t>
        </is>
      </c>
      <c r="H597" s="17" t="inlineStr">
        <is>
          <t>DOC-C02-022</t>
        </is>
      </c>
      <c r="I597" s="18" t="inlineStr">
        <is>
          <t>DOC-C05-001 (Benchmark — e-books): “Há ofertas de TDAH por R$ 19,90, R$ 27, R$ 29,90 e R$ 37,90; um e-book comercial da Artmed de Barkley, muito mais extenso e editorialmente tradicional, está em R$ 97,28.” (Benchmark — curso): tabela com seis ofertas de R$89,90 a R$1.997. (Serviços): “a CCN mantém consultoria a R$300/h […]; a Produtive.Me cobra R$2.500 por um sprint de mapeamento de 15 dias e R$4.000 por 30 dias, sem implementação.” | DOC-C01-005: “O framework mais próximo, em termos de estrutura geral, é a ICF/CIF da OMS”; “Há também o WHODAS 2.0, da OMS”. | DOC-C02-031 (item 4, GUARDRAIL): “‘Não encontramos’ não significa ‘não existe’.” | DOC-C02-022 (RC-014): “A APM publicou em 26/08/2026 conteúdo dizendo que projetos também podem falhar cognitivamente.” | DOC-C07-009 (themes_qt): tema “Benchmark de apps concorrentes” com apenas 3 registros.</t>
        </is>
      </c>
      <c r="J597" s="17" t="n"/>
      <c r="K597" s="17" t="inlineStr">
        <is>
          <t>alta</t>
        </is>
      </c>
      <c r="L597" s="17" t="inlineStr">
        <is>
          <t>preenchido</t>
        </is>
      </c>
    </row>
    <row r="598">
      <c r="A598" s="17" t="inlineStr">
        <is>
          <t>EV-c8ccb89b15</t>
        </is>
      </c>
      <c r="B598" s="17" t="inlineStr">
        <is>
          <t>formulario</t>
        </is>
      </c>
      <c r="C598" s="17" t="inlineStr">
        <is>
          <t>dia1-2</t>
        </is>
      </c>
      <c r="D598" s="17" t="inlineStr">
        <is>
          <t>1.13 Análise competitiva</t>
        </is>
      </c>
      <c r="E598" s="17" t="n"/>
      <c r="F598" s="17" t="inlineStr">
        <is>
          <t>NEGÓCIO &amp; GTM</t>
        </is>
      </c>
      <c r="G598" s="18" t="inlineStr">
        <is>
          <t>TRANSVERSAL — forte em ECO-05, ECO-07 e ECO-03; fraco em ECO-01</t>
        </is>
      </c>
      <c r="H598" s="17" t="inlineStr">
        <is>
          <t>DOC-C07-009</t>
        </is>
      </c>
      <c r="I598" s="18" t="inlineStr">
        <is>
          <t>DOC-C05-001 (Benchmark — e-books): “Há ofertas de TDAH por R$ 19,90, R$ 27, R$ 29,90 e R$ 37,90; um e-book comercial da Artmed de Barkley, muito mais extenso e editorialmente tradicional, está em R$ 97,28.” (Benchmark — curso): tabela com seis ofertas de R$89,90 a R$1.997. (Serviços): “a CCN mantém consultoria a R$300/h […]; a Produtive.Me cobra R$2.500 por um sprint de mapeamento de 15 dias e R$4.000 por 30 dias, sem implementação.” | DOC-C01-005: “O framework mais próximo, em termos de estrutura geral, é a ICF/CIF da OMS”; “Há também o WHODAS 2.0, da OMS”. | DOC-C02-031 (item 4, GUARDRAIL): “‘Não encontramos’ não significa ‘não existe’.” | DOC-C02-022 (RC-014): “A APM publicou em 26/08/2026 conteúdo dizendo que projetos também podem falhar cognitivamente.” | DOC-C07-009 (themes_qt): tema “Benchmark de apps concorrentes” com apenas 3 registros.</t>
        </is>
      </c>
      <c r="J598" s="17" t="n"/>
      <c r="K598" s="17" t="inlineStr">
        <is>
          <t>alta</t>
        </is>
      </c>
      <c r="L598" s="17" t="inlineStr">
        <is>
          <t>preenchido</t>
        </is>
      </c>
    </row>
    <row r="599">
      <c r="A599" s="17" t="inlineStr">
        <is>
          <t>EV-e88ab37029</t>
        </is>
      </c>
      <c r="B599" s="17" t="inlineStr">
        <is>
          <t>formulario</t>
        </is>
      </c>
      <c r="C599" s="17" t="inlineStr">
        <is>
          <t>dia1-2</t>
        </is>
      </c>
      <c r="D599" s="17" t="inlineStr">
        <is>
          <t>1.14 Dados e warehouse</t>
        </is>
      </c>
      <c r="E599" s="17" t="n"/>
      <c r="F599" s="17" t="inlineStr">
        <is>
          <t>NEGÓCIO &amp; GTM</t>
        </is>
      </c>
      <c r="G599" s="17" t="inlineStr">
        <is>
          <t>TRANSVERSAL</t>
        </is>
      </c>
      <c r="H599" s="17" t="inlineStr">
        <is>
          <t>DOC-C07-007</t>
        </is>
      </c>
      <c r="I599" s="18" t="inlineStr">
        <is>
          <t>DOC-C07-007 (cabeçalho do JSON): “format: csv · file_name: base_evidencias_tdah_adulto_WAREHOUSE.csv · sha256: 57f2a1015cf04e67fba04178e038f8d31f617d6e0ec050711280c8b048cffdbf · size_bytes: 129719 · columns: 30 · row_count: 240”. | DOC-C07-009 (status): “canonical: Google Drive / Supabase-2026-TDHA · schema_version: DATA-SCHEMA-002 / base 1.1”; (Estado atual): “31 sources · 248 RAW · 116 knowledge · 161 evidence candidates · 0 strict verified · 22 decisões operacionais.” | DOC-C07-006: “estado_documental: existente + registrado + verificado; não preenchido; não aprovado como schema final”. | DOC-C02-017 (OBSERVABILIDADE): “Vercel Web Analytics + Speed Insights”; RC-054: “Inicialmente priorizar métricas agregadas, não identificação…”.</t>
        </is>
      </c>
      <c r="J599" s="17" t="n"/>
      <c r="K599" s="17" t="inlineStr">
        <is>
          <t>alta</t>
        </is>
      </c>
      <c r="L599" s="17" t="inlineStr">
        <is>
          <t>preenchido</t>
        </is>
      </c>
    </row>
    <row r="600">
      <c r="A600" s="17" t="inlineStr">
        <is>
          <t>EV-d5c7383a7f</t>
        </is>
      </c>
      <c r="B600" s="17" t="inlineStr">
        <is>
          <t>formulario</t>
        </is>
      </c>
      <c r="C600" s="17" t="inlineStr">
        <is>
          <t>dia1-2</t>
        </is>
      </c>
      <c r="D600" s="17" t="inlineStr">
        <is>
          <t>1.14 Dados e warehouse</t>
        </is>
      </c>
      <c r="E600" s="17" t="n"/>
      <c r="F600" s="17" t="inlineStr">
        <is>
          <t>NEGÓCIO &amp; GTM</t>
        </is>
      </c>
      <c r="G600" s="17" t="inlineStr">
        <is>
          <t>TRANSVERSAL</t>
        </is>
      </c>
      <c r="H600" s="17" t="inlineStr">
        <is>
          <t>DOC-C07-009</t>
        </is>
      </c>
      <c r="I600" s="18" t="inlineStr">
        <is>
          <t>DOC-C07-007 (cabeçalho do JSON): “format: csv · file_name: base_evidencias_tdah_adulto_WAREHOUSE.csv · sha256: 57f2a1015cf04e67fba04178e038f8d31f617d6e0ec050711280c8b048cffdbf · size_bytes: 129719 · columns: 30 · row_count: 240”. | DOC-C07-009 (status): “canonical: Google Drive / Supabase-2026-TDHA · schema_version: DATA-SCHEMA-002 / base 1.1”; (Estado atual): “31 sources · 248 RAW · 116 knowledge · 161 evidence candidates · 0 strict verified · 22 decisões operacionais.” | DOC-C07-006: “estado_documental: existente + registrado + verificado; não preenchido; não aprovado como schema final”. | DOC-C02-017 (OBSERVABILIDADE): “Vercel Web Analytics + Speed Insights”; RC-054: “Inicialmente priorizar métricas agregadas, não identificação…”.</t>
        </is>
      </c>
      <c r="J600" s="17" t="n"/>
      <c r="K600" s="17" t="inlineStr">
        <is>
          <t>alta</t>
        </is>
      </c>
      <c r="L600" s="17" t="inlineStr">
        <is>
          <t>preenchido</t>
        </is>
      </c>
    </row>
    <row r="601">
      <c r="A601" s="17" t="inlineStr">
        <is>
          <t>EV-4b12f9be3c</t>
        </is>
      </c>
      <c r="B601" s="17" t="inlineStr">
        <is>
          <t>formulario</t>
        </is>
      </c>
      <c r="C601" s="17" t="inlineStr">
        <is>
          <t>dia1-2</t>
        </is>
      </c>
      <c r="D601" s="17" t="inlineStr">
        <is>
          <t>1.14 Dados e warehouse</t>
        </is>
      </c>
      <c r="E601" s="17" t="n"/>
      <c r="F601" s="17" t="inlineStr">
        <is>
          <t>NEGÓCIO &amp; GTM</t>
        </is>
      </c>
      <c r="G601" s="17" t="inlineStr">
        <is>
          <t>TRANSVERSAL</t>
        </is>
      </c>
      <c r="H601" s="17" t="inlineStr">
        <is>
          <t>DOC-C07-005</t>
        </is>
      </c>
      <c r="I601" s="18" t="inlineStr">
        <is>
          <t>DOC-C07-007 (cabeçalho do JSON): “format: csv · file_name: base_evidencias_tdah_adulto_WAREHOUSE.csv · sha256: 57f2a1015cf04e67fba04178e038f8d31f617d6e0ec050711280c8b048cffdbf · size_bytes: 129719 · columns: 30 · row_count: 240”. | DOC-C07-009 (status): “canonical: Google Drive / Supabase-2026-TDHA · schema_version: DATA-SCHEMA-002 / base 1.1”; (Estado atual): “31 sources · 248 RAW · 116 knowledge · 161 evidence candidates · 0 strict verified · 22 decisões operacionais.” | DOC-C07-006: “estado_documental: existente + registrado + verificado; não preenchido; não aprovado como schema final”. | DOC-C02-017 (OBSERVABILIDADE): “Vercel Web Analytics + Speed Insights”; RC-054: “Inicialmente priorizar métricas agregadas, não identificação…”.</t>
        </is>
      </c>
      <c r="J601" s="17" t="n"/>
      <c r="K601" s="17" t="inlineStr">
        <is>
          <t>alta</t>
        </is>
      </c>
      <c r="L601" s="17" t="inlineStr">
        <is>
          <t>preenchido</t>
        </is>
      </c>
    </row>
    <row r="602">
      <c r="A602" s="17" t="inlineStr">
        <is>
          <t>EV-f9057c15b6</t>
        </is>
      </c>
      <c r="B602" s="17" t="inlineStr">
        <is>
          <t>formulario</t>
        </is>
      </c>
      <c r="C602" s="17" t="inlineStr">
        <is>
          <t>dia1-2</t>
        </is>
      </c>
      <c r="D602" s="17" t="inlineStr">
        <is>
          <t>1.14 Dados e warehouse</t>
        </is>
      </c>
      <c r="E602" s="17" t="n"/>
      <c r="F602" s="17" t="inlineStr">
        <is>
          <t>NEGÓCIO &amp; GTM</t>
        </is>
      </c>
      <c r="G602" s="17" t="inlineStr">
        <is>
          <t>TRANSVERSAL</t>
        </is>
      </c>
      <c r="H602" s="17" t="inlineStr">
        <is>
          <t>DOC-C07-006</t>
        </is>
      </c>
      <c r="I602" s="18" t="inlineStr">
        <is>
          <t>DOC-C07-007 (cabeçalho do JSON): “format: csv · file_name: base_evidencias_tdah_adulto_WAREHOUSE.csv · sha256: 57f2a1015cf04e67fba04178e038f8d31f617d6e0ec050711280c8b048cffdbf · size_bytes: 129719 · columns: 30 · row_count: 240”. | DOC-C07-009 (status): “canonical: Google Drive / Supabase-2026-TDHA · schema_version: DATA-SCHEMA-002 / base 1.1”; (Estado atual): “31 sources · 248 RAW · 116 knowledge · 161 evidence candidates · 0 strict verified · 22 decisões operacionais.” | DOC-C07-006: “estado_documental: existente + registrado + verificado; não preenchido; não aprovado como schema final”. | DOC-C02-017 (OBSERVABILIDADE): “Vercel Web Analytics + Speed Insights”; RC-054: “Inicialmente priorizar métricas agregadas, não identificação…”.</t>
        </is>
      </c>
      <c r="J602" s="17" t="n"/>
      <c r="K602" s="17" t="inlineStr">
        <is>
          <t>alta</t>
        </is>
      </c>
      <c r="L602" s="17" t="inlineStr">
        <is>
          <t>preenchido</t>
        </is>
      </c>
    </row>
    <row r="603">
      <c r="A603" s="17" t="inlineStr">
        <is>
          <t>EV-5612312d73</t>
        </is>
      </c>
      <c r="B603" s="17" t="inlineStr">
        <is>
          <t>formulario</t>
        </is>
      </c>
      <c r="C603" s="17" t="inlineStr">
        <is>
          <t>dia1-2</t>
        </is>
      </c>
      <c r="D603" s="17" t="inlineStr">
        <is>
          <t>1.14 Dados e warehouse</t>
        </is>
      </c>
      <c r="E603" s="17" t="n"/>
      <c r="F603" s="17" t="inlineStr">
        <is>
          <t>NEGÓCIO &amp; GTM</t>
        </is>
      </c>
      <c r="G603" s="17" t="inlineStr">
        <is>
          <t>TRANSVERSAL</t>
        </is>
      </c>
      <c r="H603" s="17" t="inlineStr">
        <is>
          <t>DOC-C02-017</t>
        </is>
      </c>
      <c r="I603" s="18" t="inlineStr">
        <is>
          <t>DOC-C07-007 (cabeçalho do JSON): “format: csv · file_name: base_evidencias_tdah_adulto_WAREHOUSE.csv · sha256: 57f2a1015cf04e67fba04178e038f8d31f617d6e0ec050711280c8b048cffdbf · size_bytes: 129719 · columns: 30 · row_count: 240”. | DOC-C07-009 (status): “canonical: Google Drive / Supabase-2026-TDHA · schema_version: DATA-SCHEMA-002 / base 1.1”; (Estado atual): “31 sources · 248 RAW · 116 knowledge · 161 evidence candidates · 0 strict verified · 22 decisões operacionais.” | DOC-C07-006: “estado_documental: existente + registrado + verificado; não preenchido; não aprovado como schema final”. | DOC-C02-017 (OBSERVABILIDADE): “Vercel Web Analytics + Speed Insights”; RC-054: “Inicialmente priorizar métricas agregadas, não identificação…”.</t>
        </is>
      </c>
      <c r="J603" s="17" t="n"/>
      <c r="K603" s="17" t="inlineStr">
        <is>
          <t>alta</t>
        </is>
      </c>
      <c r="L603" s="17" t="inlineStr">
        <is>
          <t>preenchido</t>
        </is>
      </c>
    </row>
    <row r="604">
      <c r="A604" s="17" t="inlineStr">
        <is>
          <t>EV-88ff43e7f4</t>
        </is>
      </c>
      <c r="B604" s="17" t="inlineStr">
        <is>
          <t>formulario</t>
        </is>
      </c>
      <c r="C604" s="17" t="inlineStr">
        <is>
          <t>dia1-2</t>
        </is>
      </c>
      <c r="D604" s="17" t="inlineStr">
        <is>
          <t>1.15 Cadência financeira recorrente</t>
        </is>
      </c>
      <c r="E604" s="17" t="n"/>
      <c r="F604" s="17" t="inlineStr">
        <is>
          <t>NEGÓCIO &amp; GTM</t>
        </is>
      </c>
      <c r="G604" s="17" t="inlineStr">
        <is>
          <t>TRANSVERSAL</t>
        </is>
      </c>
      <c r="H604" s="17" t="inlineStr">
        <is>
          <t>DOC-C04-001</t>
        </is>
      </c>
      <c r="I604" s="18" t="inlineStr">
        <is>
          <t>Busca por “DRE”, “P&amp;L”, “demonstrativo de resultado”, “variância”, “fluxo de caixa” e “MRR” em todo o corpus retorna apenas: DOC-C04-001 (Cronograma.md), que só lista o nome do campo “1.15 | Cadência financeira recorrente (P&amp;L/variância) | 🔌 finance/financial-statements, variance-analysis”, e ocorrências em outro sentido (variância estatística, gates operacionais). Existe cadência OPERACIONAL detalhada — DOC-C06-001 define templates diário e semanal, WEEK-01/WEEK-02, gates G0–G9, DoD diário e somatório de horas por value stream — mas nenhuma cadência FINANCEIRA: não há fechamento mensal, revisão de receita e custo, nem análise de variância orçado × realizado.</t>
        </is>
      </c>
      <c r="J604" s="17" t="n"/>
      <c r="K604" s="17" t="inlineStr">
        <is>
          <t>alta</t>
        </is>
      </c>
      <c r="L604" s="17" t="inlineStr">
        <is>
          <t>lacuna</t>
        </is>
      </c>
    </row>
    <row r="605">
      <c r="A605" s="17" t="inlineStr">
        <is>
          <t>EV-a7b2b7275e</t>
        </is>
      </c>
      <c r="B605" s="17" t="inlineStr">
        <is>
          <t>formulario</t>
        </is>
      </c>
      <c r="C605" s="17" t="inlineStr">
        <is>
          <t>dia1-2</t>
        </is>
      </c>
      <c r="D605" s="17" t="inlineStr">
        <is>
          <t>1.15 Cadência financeira recorrente</t>
        </is>
      </c>
      <c r="E605" s="17" t="n"/>
      <c r="F605" s="17" t="inlineStr">
        <is>
          <t>NEGÓCIO &amp; GTM</t>
        </is>
      </c>
      <c r="G605" s="17" t="inlineStr">
        <is>
          <t>TRANSVERSAL</t>
        </is>
      </c>
      <c r="H605" s="17" t="inlineStr">
        <is>
          <t>DOC-C06-001</t>
        </is>
      </c>
      <c r="I605" s="18" t="inlineStr">
        <is>
          <t>Busca por “DRE”, “P&amp;L”, “demonstrativo de resultado”, “variância”, “fluxo de caixa” e “MRR” em todo o corpus retorna apenas: DOC-C04-001 (Cronograma.md), que só lista o nome do campo “1.15 | Cadência financeira recorrente (P&amp;L/variância) | 🔌 finance/financial-statements, variance-analysis”, e ocorrências em outro sentido (variância estatística, gates operacionais). Existe cadência OPERACIONAL detalhada — DOC-C06-001 define templates diário e semanal, WEEK-01/WEEK-02, gates G0–G9, DoD diário e somatório de horas por value stream — mas nenhuma cadência FINANCEIRA: não há fechamento mensal, revisão de receita e custo, nem análise de variância orçado × realizado.</t>
        </is>
      </c>
      <c r="J605" s="17" t="n"/>
      <c r="K605" s="17" t="inlineStr">
        <is>
          <t>alta</t>
        </is>
      </c>
      <c r="L605" s="17" t="inlineStr">
        <is>
          <t>lacuna</t>
        </is>
      </c>
    </row>
    <row r="606">
      <c r="A606" s="17" t="inlineStr">
        <is>
          <t>EV-0adc6e89f0</t>
        </is>
      </c>
      <c r="B606" s="17" t="inlineStr">
        <is>
          <t>formulario</t>
        </is>
      </c>
      <c r="C606" s="17" t="inlineStr">
        <is>
          <t>dia1-2</t>
        </is>
      </c>
      <c r="D606" s="17" t="inlineStr">
        <is>
          <t>1.15 Cadência financeira recorrente</t>
        </is>
      </c>
      <c r="E606" s="17" t="n"/>
      <c r="F606" s="17" t="inlineStr">
        <is>
          <t>NEGÓCIO &amp; GTM</t>
        </is>
      </c>
      <c r="G606" s="17" t="inlineStr">
        <is>
          <t>TRANSVERSAL</t>
        </is>
      </c>
      <c r="H606" s="17" t="inlineStr">
        <is>
          <t>DOC-C07-009</t>
        </is>
      </c>
      <c r="I606" s="18" t="inlineStr">
        <is>
          <t>Busca por “DRE”, “P&amp;L”, “demonstrativo de resultado”, “variância”, “fluxo de caixa” e “MRR” em todo o corpus retorna apenas: DOC-C04-001 (Cronograma.md), que só lista o nome do campo “1.15 | Cadência financeira recorrente (P&amp;L/variância) | 🔌 finance/financial-statements, variance-analysis”, e ocorrências em outro sentido (variância estatística, gates operacionais). Existe cadência OPERACIONAL detalhada — DOC-C06-001 define templates diário e semanal, WEEK-01/WEEK-02, gates G0–G9, DoD diário e somatório de horas por value stream — mas nenhuma cadência FINANCEIRA: não há fechamento mensal, revisão de receita e custo, nem análise de variância orçado × realizado.</t>
        </is>
      </c>
      <c r="J606" s="17" t="n"/>
      <c r="K606" s="17" t="inlineStr">
        <is>
          <t>alta</t>
        </is>
      </c>
      <c r="L606" s="17" t="inlineStr">
        <is>
          <t>lacuna</t>
        </is>
      </c>
    </row>
    <row r="607">
      <c r="A607" s="17" t="inlineStr">
        <is>
          <t>EV-02ec681279</t>
        </is>
      </c>
      <c r="B607" s="17" t="inlineStr">
        <is>
          <t>formulario</t>
        </is>
      </c>
      <c r="C607" s="17" t="inlineStr">
        <is>
          <t>dia1-2</t>
        </is>
      </c>
      <c r="D607" s="17" t="inlineStr">
        <is>
          <t>1.15 Cadência financeira recorrente</t>
        </is>
      </c>
      <c r="E607" s="17" t="n"/>
      <c r="F607" s="17" t="inlineStr">
        <is>
          <t>NEGÓCIO &amp; GTM</t>
        </is>
      </c>
      <c r="G607" s="17" t="inlineStr">
        <is>
          <t>TRANSVERSAL</t>
        </is>
      </c>
      <c r="H607" s="17" t="inlineStr">
        <is>
          <t>DOC-C07-010</t>
        </is>
      </c>
      <c r="I607" s="18" t="inlineStr">
        <is>
          <t>Busca por “DRE”, “P&amp;L”, “demonstrativo de resultado”, “variância”, “fluxo de caixa” e “MRR” em todo o corpus retorna apenas: DOC-C04-001 (Cronograma.md), que só lista o nome do campo “1.15 | Cadência financeira recorrente (P&amp;L/variância) | 🔌 finance/financial-statements, variance-analysis”, e ocorrências em outro sentido (variância estatística, gates operacionais). Existe cadência OPERACIONAL detalhada — DOC-C06-001 define templates diário e semanal, WEEK-01/WEEK-02, gates G0–G9, DoD diário e somatório de horas por value stream — mas nenhuma cadência FINANCEIRA: não há fechamento mensal, revisão de receita e custo, nem análise de variância orçado × realizado.</t>
        </is>
      </c>
      <c r="J607" s="17" t="n"/>
      <c r="K607" s="17" t="inlineStr">
        <is>
          <t>alta</t>
        </is>
      </c>
      <c r="L607" s="17" t="inlineStr">
        <is>
          <t>lacuna</t>
        </is>
      </c>
    </row>
    <row r="608">
      <c r="A608" s="17" t="inlineStr">
        <is>
          <t>EV-5b3f6f0ab9</t>
        </is>
      </c>
      <c r="B608" s="17" t="inlineStr">
        <is>
          <t>formulario</t>
        </is>
      </c>
      <c r="C608" s="17" t="inlineStr">
        <is>
          <t>dia1-2</t>
        </is>
      </c>
      <c r="D608" s="17" t="inlineStr">
        <is>
          <t>1.16 Pipeline e forecast de vendas</t>
        </is>
      </c>
      <c r="E608" s="17" t="n"/>
      <c r="F608" s="17" t="inlineStr">
        <is>
          <t>NEGÓCIO &amp; GTM</t>
        </is>
      </c>
      <c r="G608" s="18" t="inlineStr">
        <is>
          <t>ECO-07 (pipeline definido); forecast ausente em todas as unidades</t>
        </is>
      </c>
      <c r="H608" s="17" t="inlineStr">
        <is>
          <t>DOC-C05-001</t>
        </is>
      </c>
      <c r="I608" s="18" t="inlineStr">
        <is>
          <t>DOC-C05-001 (Cadeia única de valor final): “Conteúdo ↓ problema reconhecido ↓ showroom demonstra solução concreta ↓ formulário visual de 5 min ↓ seleção de fit ↓ D1 · entender + cocriar […] ↓ caso + evidência ↓ novo projeto / indicação / expansão.” (Escada recomendada): “Piloto 01–03 · R$0; Founding 04–06 · R$700; Regular Workflow · desde R$1.490; Regular Automação/Agente · desde R$1.990; Regular App/Sistema · desde R$2.490.” | DOC-C09-006 (Modelo): “1 cliente por semana · 1 projeto · 1 entrega principal · 7 dias.” | DOC-C12-003: “10 · Faixa de investimento imaginada: Até R$1.500 · R$1.500–2.500 · R$2.500–5.000 · Ainda não sei.”</t>
        </is>
      </c>
      <c r="J608" s="17" t="n"/>
      <c r="K608" s="17" t="inlineStr">
        <is>
          <t>media</t>
        </is>
      </c>
      <c r="L608" s="17" t="inlineStr">
        <is>
          <t>parcial</t>
        </is>
      </c>
    </row>
    <row r="609">
      <c r="A609" s="17" t="inlineStr">
        <is>
          <t>EV-1e85c9a7c3</t>
        </is>
      </c>
      <c r="B609" s="17" t="inlineStr">
        <is>
          <t>formulario</t>
        </is>
      </c>
      <c r="C609" s="17" t="inlineStr">
        <is>
          <t>dia1-2</t>
        </is>
      </c>
      <c r="D609" s="17" t="inlineStr">
        <is>
          <t>1.16 Pipeline e forecast de vendas</t>
        </is>
      </c>
      <c r="E609" s="17" t="n"/>
      <c r="F609" s="17" t="inlineStr">
        <is>
          <t>NEGÓCIO &amp; GTM</t>
        </is>
      </c>
      <c r="G609" s="18" t="inlineStr">
        <is>
          <t>ECO-07 (pipeline definido); forecast ausente em todas as unidades</t>
        </is>
      </c>
      <c r="H609" s="17" t="inlineStr">
        <is>
          <t>DOC-C12-003</t>
        </is>
      </c>
      <c r="I609" s="18" t="inlineStr">
        <is>
          <t>DOC-C05-001 (Cadeia única de valor final): “Conteúdo ↓ problema reconhecido ↓ showroom demonstra solução concreta ↓ formulário visual de 5 min ↓ seleção de fit ↓ D1 · entender + cocriar […] ↓ caso + evidência ↓ novo projeto / indicação / expansão.” (Escada recomendada): “Piloto 01–03 · R$0; Founding 04–06 · R$700; Regular Workflow · desde R$1.490; Regular Automação/Agente · desde R$1.990; Regular App/Sistema · desde R$2.490.” | DOC-C09-006 (Modelo): “1 cliente por semana · 1 projeto · 1 entrega principal · 7 dias.” | DOC-C12-003: “10 · Faixa de investimento imaginada: Até R$1.500 · R$1.500–2.500 · R$2.500–5.000 · Ainda não sei.”</t>
        </is>
      </c>
      <c r="J609" s="17" t="n"/>
      <c r="K609" s="17" t="inlineStr">
        <is>
          <t>media</t>
        </is>
      </c>
      <c r="L609" s="17" t="inlineStr">
        <is>
          <t>parcial</t>
        </is>
      </c>
    </row>
    <row r="610">
      <c r="A610" s="17" t="inlineStr">
        <is>
          <t>EV-31c98998b7</t>
        </is>
      </c>
      <c r="B610" s="17" t="inlineStr">
        <is>
          <t>formulario</t>
        </is>
      </c>
      <c r="C610" s="17" t="inlineStr">
        <is>
          <t>dia1-2</t>
        </is>
      </c>
      <c r="D610" s="17" t="inlineStr">
        <is>
          <t>1.16 Pipeline e forecast de vendas</t>
        </is>
      </c>
      <c r="E610" s="17" t="n"/>
      <c r="F610" s="17" t="inlineStr">
        <is>
          <t>NEGÓCIO &amp; GTM</t>
        </is>
      </c>
      <c r="G610" s="18" t="inlineStr">
        <is>
          <t>ECO-07 (pipeline definido); forecast ausente em todas as unidades</t>
        </is>
      </c>
      <c r="H610" s="17" t="inlineStr">
        <is>
          <t>DOC-C09-006</t>
        </is>
      </c>
      <c r="I610" s="18" t="inlineStr">
        <is>
          <t>DOC-C05-001 (Cadeia única de valor final): “Conteúdo ↓ problema reconhecido ↓ showroom demonstra solução concreta ↓ formulário visual de 5 min ↓ seleção de fit ↓ D1 · entender + cocriar […] ↓ caso + evidência ↓ novo projeto / indicação / expansão.” (Escada recomendada): “Piloto 01–03 · R$0; Founding 04–06 · R$700; Regular Workflow · desde R$1.490; Regular Automação/Agente · desde R$1.990; Regular App/Sistema · desde R$2.490.” | DOC-C09-006 (Modelo): “1 cliente por semana · 1 projeto · 1 entrega principal · 7 dias.” | DOC-C12-003: “10 · Faixa de investimento imaginada: Até R$1.500 · R$1.500–2.500 · R$2.500–5.000 · Ainda não sei.”</t>
        </is>
      </c>
      <c r="J610" s="17" t="n"/>
      <c r="K610" s="17" t="inlineStr">
        <is>
          <t>media</t>
        </is>
      </c>
      <c r="L610" s="17" t="inlineStr">
        <is>
          <t>parcial</t>
        </is>
      </c>
    </row>
    <row r="611">
      <c r="A611" s="17" t="inlineStr">
        <is>
          <t>EV-a2cdbcfeaf</t>
        </is>
      </c>
      <c r="B611" s="17" t="inlineStr">
        <is>
          <t>formulario</t>
        </is>
      </c>
      <c r="C611" s="17" t="inlineStr">
        <is>
          <t>dia1-2</t>
        </is>
      </c>
      <c r="D611" s="17" t="inlineStr">
        <is>
          <t>1.16 Pipeline e forecast de vendas</t>
        </is>
      </c>
      <c r="E611" s="17" t="n"/>
      <c r="F611" s="17" t="inlineStr">
        <is>
          <t>NEGÓCIO &amp; GTM</t>
        </is>
      </c>
      <c r="G611" s="18" t="inlineStr">
        <is>
          <t>ECO-07 (pipeline definido); forecast ausente em todas as unidades</t>
        </is>
      </c>
      <c r="H611" s="17" t="inlineStr">
        <is>
          <t>DOC-C11-010</t>
        </is>
      </c>
      <c r="I611" s="18" t="inlineStr">
        <is>
          <t>DOC-C05-001 (Cadeia única de valor final): “Conteúdo ↓ problema reconhecido ↓ showroom demonstra solução concreta ↓ formulário visual de 5 min ↓ seleção de fit ↓ D1 · entender + cocriar […] ↓ caso + evidência ↓ novo projeto / indicação / expansão.” (Escada recomendada): “Piloto 01–03 · R$0; Founding 04–06 · R$700; Regular Workflow · desde R$1.490; Regular Automação/Agente · desde R$1.990; Regular App/Sistema · desde R$2.490.” | DOC-C09-006 (Modelo): “1 cliente por semana · 1 projeto · 1 entrega principal · 7 dias.” | DOC-C12-003: “10 · Faixa de investimento imaginada: Até R$1.500 · R$1.500–2.500 · R$2.500–5.000 · Ainda não sei.”</t>
        </is>
      </c>
      <c r="J611" s="17" t="n"/>
      <c r="K611" s="17" t="inlineStr">
        <is>
          <t>media</t>
        </is>
      </c>
      <c r="L611" s="17" t="inlineStr">
        <is>
          <t>parcial</t>
        </is>
      </c>
    </row>
    <row r="612">
      <c r="A612" s="17" t="inlineStr">
        <is>
          <t>EV-6fec2fc89e</t>
        </is>
      </c>
      <c r="B612" s="17" t="inlineStr">
        <is>
          <t>formulario</t>
        </is>
      </c>
      <c r="C612" s="17" t="inlineStr">
        <is>
          <t>dia1-2</t>
        </is>
      </c>
      <c r="D612" s="17" t="inlineStr">
        <is>
          <t>2.1 Nome do produto/feature</t>
        </is>
      </c>
      <c r="E612" s="17" t="n"/>
      <c r="F612" s="17" t="inlineStr">
        <is>
          <t>PRODUTO</t>
        </is>
      </c>
      <c r="G612" s="17" t="inlineStr">
        <is>
          <t>TRANSVERSAL — nomes distintos por unidade</t>
        </is>
      </c>
      <c r="H612" s="17" t="inlineStr">
        <is>
          <t>DOC-C05-001</t>
        </is>
      </c>
      <c r="I612" s="18" t="inlineStr">
        <is>
          <t>DOC-C05-001: “Feature 01 — Agente 007 / Autogestão adaptativa”, “Feature 02 — Scanner / QR / Atalhos”, “Feature 03 — Mapa-OS / Analógico / Prisma”; Master Index dos infoprodutos I0–I4; Master Index — Produtos Físicos P0–P4. | DOC-C04-002: “PR #77 — feat(design-system): identidade única de tokens exec.*”; rotas “apps/app/app/(authenticated)/scanner/” e “/mapa-os?format=prisma (padrão, A4 retrato) e /mapa-os?format=tripe (A4 paisagem)”. | DOC-C01-006: “Risco Cognitivo → é a marca editorial; riscocognitivo.org → é a publicação/site; @riscocognitivo → são os canais da publicação.” | DOC-C02-016: “TÍTULO: Cognitive Execution Risk Management — v0.1”, com guardrail “Não reivindicar criação de ‘Cognitive Risk Management’”.</t>
        </is>
      </c>
      <c r="J612" s="17" t="n"/>
      <c r="K612" s="17" t="inlineStr">
        <is>
          <t>alta</t>
        </is>
      </c>
      <c r="L612" s="17" t="inlineStr">
        <is>
          <t>preenchido</t>
        </is>
      </c>
    </row>
    <row r="613">
      <c r="A613" s="17" t="inlineStr">
        <is>
          <t>EV-c95501bc83</t>
        </is>
      </c>
      <c r="B613" s="17" t="inlineStr">
        <is>
          <t>formulario</t>
        </is>
      </c>
      <c r="C613" s="17" t="inlineStr">
        <is>
          <t>dia1-2</t>
        </is>
      </c>
      <c r="D613" s="17" t="inlineStr">
        <is>
          <t>2.1 Nome do produto/feature</t>
        </is>
      </c>
      <c r="E613" s="17" t="n"/>
      <c r="F613" s="17" t="inlineStr">
        <is>
          <t>PRODUTO</t>
        </is>
      </c>
      <c r="G613" s="17" t="inlineStr">
        <is>
          <t>TRANSVERSAL — nomes distintos por unidade</t>
        </is>
      </c>
      <c r="H613" s="17" t="inlineStr">
        <is>
          <t>DOC-C04-002</t>
        </is>
      </c>
      <c r="I613" s="18" t="inlineStr">
        <is>
          <t>DOC-C05-001: “Feature 01 — Agente 007 / Autogestão adaptativa”, “Feature 02 — Scanner / QR / Atalhos”, “Feature 03 — Mapa-OS / Analógico / Prisma”; Master Index dos infoprodutos I0–I4; Master Index — Produtos Físicos P0–P4. | DOC-C04-002: “PR #77 — feat(design-system): identidade única de tokens exec.*”; rotas “apps/app/app/(authenticated)/scanner/” e “/mapa-os?format=prisma (padrão, A4 retrato) e /mapa-os?format=tripe (A4 paisagem)”. | DOC-C01-006: “Risco Cognitivo → é a marca editorial; riscocognitivo.org → é a publicação/site; @riscocognitivo → são os canais da publicação.” | DOC-C02-016: “TÍTULO: Cognitive Execution Risk Management — v0.1”, com guardrail “Não reivindicar criação de ‘Cognitive Risk Management’”.</t>
        </is>
      </c>
      <c r="J613" s="17" t="n"/>
      <c r="K613" s="17" t="inlineStr">
        <is>
          <t>alta</t>
        </is>
      </c>
      <c r="L613" s="17" t="inlineStr">
        <is>
          <t>preenchido</t>
        </is>
      </c>
    </row>
    <row r="614">
      <c r="A614" s="17" t="inlineStr">
        <is>
          <t>EV-e8e053720b</t>
        </is>
      </c>
      <c r="B614" s="17" t="inlineStr">
        <is>
          <t>formulario</t>
        </is>
      </c>
      <c r="C614" s="17" t="inlineStr">
        <is>
          <t>dia1-2</t>
        </is>
      </c>
      <c r="D614" s="17" t="inlineStr">
        <is>
          <t>2.1 Nome do produto/feature</t>
        </is>
      </c>
      <c r="E614" s="17" t="n"/>
      <c r="F614" s="17" t="inlineStr">
        <is>
          <t>PRODUTO</t>
        </is>
      </c>
      <c r="G614" s="17" t="inlineStr">
        <is>
          <t>TRANSVERSAL — nomes distintos por unidade</t>
        </is>
      </c>
      <c r="H614" s="17" t="inlineStr">
        <is>
          <t>DOC-C09-004</t>
        </is>
      </c>
      <c r="I614" s="18" t="inlineStr">
        <is>
          <t>DOC-C05-001: “Feature 01 — Agente 007 / Autogestão adaptativa”, “Feature 02 — Scanner / QR / Atalhos”, “Feature 03 — Mapa-OS / Analógico / Prisma”; Master Index dos infoprodutos I0–I4; Master Index — Produtos Físicos P0–P4. | DOC-C04-002: “PR #77 — feat(design-system): identidade única de tokens exec.*”; rotas “apps/app/app/(authenticated)/scanner/” e “/mapa-os?format=prisma (padrão, A4 retrato) e /mapa-os?format=tripe (A4 paisagem)”. | DOC-C01-006: “Risco Cognitivo → é a marca editorial; riscocognitivo.org → é a publicação/site; @riscocognitivo → são os canais da publicação.” | DOC-C02-016: “TÍTULO: Cognitive Execution Risk Management — v0.1”, com guardrail “Não reivindicar criação de ‘Cognitive Risk Management’”.</t>
        </is>
      </c>
      <c r="J614" s="17" t="n"/>
      <c r="K614" s="17" t="inlineStr">
        <is>
          <t>alta</t>
        </is>
      </c>
      <c r="L614" s="17" t="inlineStr">
        <is>
          <t>preenchido</t>
        </is>
      </c>
    </row>
    <row r="615">
      <c r="A615" s="17" t="inlineStr">
        <is>
          <t>EV-4c17233582</t>
        </is>
      </c>
      <c r="B615" s="17" t="inlineStr">
        <is>
          <t>formulario</t>
        </is>
      </c>
      <c r="C615" s="17" t="inlineStr">
        <is>
          <t>dia1-2</t>
        </is>
      </c>
      <c r="D615" s="17" t="inlineStr">
        <is>
          <t>2.1 Nome do produto/feature</t>
        </is>
      </c>
      <c r="E615" s="17" t="n"/>
      <c r="F615" s="17" t="inlineStr">
        <is>
          <t>PRODUTO</t>
        </is>
      </c>
      <c r="G615" s="17" t="inlineStr">
        <is>
          <t>TRANSVERSAL — nomes distintos por unidade</t>
        </is>
      </c>
      <c r="H615" s="17" t="inlineStr">
        <is>
          <t>DOC-C09-011</t>
        </is>
      </c>
      <c r="I615" s="18" t="inlineStr">
        <is>
          <t>DOC-C05-001: “Feature 01 — Agente 007 / Autogestão adaptativa”, “Feature 02 — Scanner / QR / Atalhos”, “Feature 03 — Mapa-OS / Analógico / Prisma”; Master Index dos infoprodutos I0–I4; Master Index — Produtos Físicos P0–P4. | DOC-C04-002: “PR #77 — feat(design-system): identidade única de tokens exec.*”; rotas “apps/app/app/(authenticated)/scanner/” e “/mapa-os?format=prisma (padrão, A4 retrato) e /mapa-os?format=tripe (A4 paisagem)”. | DOC-C01-006: “Risco Cognitivo → é a marca editorial; riscocognitivo.org → é a publicação/site; @riscocognitivo → são os canais da publicação.” | DOC-C02-016: “TÍTULO: Cognitive Execution Risk Management — v0.1”, com guardrail “Não reivindicar criação de ‘Cognitive Risk Management’”.</t>
        </is>
      </c>
      <c r="J615" s="17" t="n"/>
      <c r="K615" s="17" t="inlineStr">
        <is>
          <t>alta</t>
        </is>
      </c>
      <c r="L615" s="17" t="inlineStr">
        <is>
          <t>preenchido</t>
        </is>
      </c>
    </row>
    <row r="616">
      <c r="A616" s="17" t="inlineStr">
        <is>
          <t>EV-ab51995a06</t>
        </is>
      </c>
      <c r="B616" s="17" t="inlineStr">
        <is>
          <t>formulario</t>
        </is>
      </c>
      <c r="C616" s="17" t="inlineStr">
        <is>
          <t>dia1-2</t>
        </is>
      </c>
      <c r="D616" s="17" t="inlineStr">
        <is>
          <t>2.1 Nome do produto/feature</t>
        </is>
      </c>
      <c r="E616" s="17" t="n"/>
      <c r="F616" s="17" t="inlineStr">
        <is>
          <t>PRODUTO</t>
        </is>
      </c>
      <c r="G616" s="17" t="inlineStr">
        <is>
          <t>TRANSVERSAL — nomes distintos por unidade</t>
        </is>
      </c>
      <c r="H616" s="17" t="inlineStr">
        <is>
          <t>DOC-C09-013</t>
        </is>
      </c>
      <c r="I616" s="18" t="inlineStr">
        <is>
          <t>DOC-C05-001: “Feature 01 — Agente 007 / Autogestão adaptativa”, “Feature 02 — Scanner / QR / Atalhos”, “Feature 03 — Mapa-OS / Analógico / Prisma”; Master Index dos infoprodutos I0–I4; Master Index — Produtos Físicos P0–P4. | DOC-C04-002: “PR #77 — feat(design-system): identidade única de tokens exec.*”; rotas “apps/app/app/(authenticated)/scanner/” e “/mapa-os?format=prisma (padrão, A4 retrato) e /mapa-os?format=tripe (A4 paisagem)”. | DOC-C01-006: “Risco Cognitivo → é a marca editorial; riscocognitivo.org → é a publicação/site; @riscocognitivo → são os canais da publicação.” | DOC-C02-016: “TÍTULO: Cognitive Execution Risk Management — v0.1”, com guardrail “Não reivindicar criação de ‘Cognitive Risk Management’”.</t>
        </is>
      </c>
      <c r="J616" s="17" t="n"/>
      <c r="K616" s="17" t="inlineStr">
        <is>
          <t>alta</t>
        </is>
      </c>
      <c r="L616" s="17" t="inlineStr">
        <is>
          <t>preenchido</t>
        </is>
      </c>
    </row>
    <row r="617">
      <c r="A617" s="17" t="inlineStr">
        <is>
          <t>EV-d4f443008f</t>
        </is>
      </c>
      <c r="B617" s="17" t="inlineStr">
        <is>
          <t>formulario</t>
        </is>
      </c>
      <c r="C617" s="17" t="inlineStr">
        <is>
          <t>dia1-2</t>
        </is>
      </c>
      <c r="D617" s="17" t="inlineStr">
        <is>
          <t>2.1 Nome do produto/feature</t>
        </is>
      </c>
      <c r="E617" s="17" t="n"/>
      <c r="F617" s="17" t="inlineStr">
        <is>
          <t>PRODUTO</t>
        </is>
      </c>
      <c r="G617" s="17" t="inlineStr">
        <is>
          <t>TRANSVERSAL — nomes distintos por unidade</t>
        </is>
      </c>
      <c r="H617" s="17" t="inlineStr">
        <is>
          <t>DOC-C09-008</t>
        </is>
      </c>
      <c r="I617" s="18" t="inlineStr">
        <is>
          <t>DOC-C05-001: “Feature 01 — Agente 007 / Autogestão adaptativa”, “Feature 02 — Scanner / QR / Atalhos”, “Feature 03 — Mapa-OS / Analógico / Prisma”; Master Index dos infoprodutos I0–I4; Master Index — Produtos Físicos P0–P4. | DOC-C04-002: “PR #77 — feat(design-system): identidade única de tokens exec.*”; rotas “apps/app/app/(authenticated)/scanner/” e “/mapa-os?format=prisma (padrão, A4 retrato) e /mapa-os?format=tripe (A4 paisagem)”. | DOC-C01-006: “Risco Cognitivo → é a marca editorial; riscocognitivo.org → é a publicação/site; @riscocognitivo → são os canais da publicação.” | DOC-C02-016: “TÍTULO: Cognitive Execution Risk Management — v0.1”, com guardrail “Não reivindicar criação de ‘Cognitive Risk Management’”.</t>
        </is>
      </c>
      <c r="J617" s="17" t="n"/>
      <c r="K617" s="17" t="inlineStr">
        <is>
          <t>alta</t>
        </is>
      </c>
      <c r="L617" s="17" t="inlineStr">
        <is>
          <t>preenchido</t>
        </is>
      </c>
    </row>
    <row r="618">
      <c r="A618" s="17" t="inlineStr">
        <is>
          <t>EV-4ceeec2e1a</t>
        </is>
      </c>
      <c r="B618" s="17" t="inlineStr">
        <is>
          <t>formulario</t>
        </is>
      </c>
      <c r="C618" s="17" t="inlineStr">
        <is>
          <t>dia1-2</t>
        </is>
      </c>
      <c r="D618" s="17" t="inlineStr">
        <is>
          <t>2.1 Nome do produto/feature</t>
        </is>
      </c>
      <c r="E618" s="17" t="n"/>
      <c r="F618" s="17" t="inlineStr">
        <is>
          <t>PRODUTO</t>
        </is>
      </c>
      <c r="G618" s="17" t="inlineStr">
        <is>
          <t>TRANSVERSAL — nomes distintos por unidade</t>
        </is>
      </c>
      <c r="H618" s="17" t="inlineStr">
        <is>
          <t>DOC-C01-006</t>
        </is>
      </c>
      <c r="I618" s="18" t="inlineStr">
        <is>
          <t>DOC-C05-001: “Feature 01 — Agente 007 / Autogestão adaptativa”, “Feature 02 — Scanner / QR / Atalhos”, “Feature 03 — Mapa-OS / Analógico / Prisma”; Master Index dos infoprodutos I0–I4; Master Index — Produtos Físicos P0–P4. | DOC-C04-002: “PR #77 — feat(design-system): identidade única de tokens exec.*”; rotas “apps/app/app/(authenticated)/scanner/” e “/mapa-os?format=prisma (padrão, A4 retrato) e /mapa-os?format=tripe (A4 paisagem)”. | DOC-C01-006: “Risco Cognitivo → é a marca editorial; riscocognitivo.org → é a publicação/site; @riscocognitivo → são os canais da publicação.” | DOC-C02-016: “TÍTULO: Cognitive Execution Risk Management — v0.1”, com guardrail “Não reivindicar criação de ‘Cognitive Risk Management’”.</t>
        </is>
      </c>
      <c r="J618" s="17" t="n"/>
      <c r="K618" s="17" t="inlineStr">
        <is>
          <t>alta</t>
        </is>
      </c>
      <c r="L618" s="17" t="inlineStr">
        <is>
          <t>preenchido</t>
        </is>
      </c>
    </row>
    <row r="619">
      <c r="A619" s="17" t="inlineStr">
        <is>
          <t>EV-0559824216</t>
        </is>
      </c>
      <c r="B619" s="17" t="inlineStr">
        <is>
          <t>formulario</t>
        </is>
      </c>
      <c r="C619" s="17" t="inlineStr">
        <is>
          <t>dia1-2</t>
        </is>
      </c>
      <c r="D619" s="17" t="inlineStr">
        <is>
          <t>2.1 Nome do produto/feature</t>
        </is>
      </c>
      <c r="E619" s="17" t="n"/>
      <c r="F619" s="17" t="inlineStr">
        <is>
          <t>PRODUTO</t>
        </is>
      </c>
      <c r="G619" s="17" t="inlineStr">
        <is>
          <t>TRANSVERSAL — nomes distintos por unidade</t>
        </is>
      </c>
      <c r="H619" s="17" t="inlineStr">
        <is>
          <t>DOC-C02-016</t>
        </is>
      </c>
      <c r="I619" s="18" t="inlineStr">
        <is>
          <t>DOC-C05-001: “Feature 01 — Agente 007 / Autogestão adaptativa”, “Feature 02 — Scanner / QR / Atalhos”, “Feature 03 — Mapa-OS / Analógico / Prisma”; Master Index dos infoprodutos I0–I4; Master Index — Produtos Físicos P0–P4. | DOC-C04-002: “PR #77 — feat(design-system): identidade única de tokens exec.*”; rotas “apps/app/app/(authenticated)/scanner/” e “/mapa-os?format=prisma (padrão, A4 retrato) e /mapa-os?format=tripe (A4 paisagem)”. | DOC-C01-006: “Risco Cognitivo → é a marca editorial; riscocognitivo.org → é a publicação/site; @riscocognitivo → são os canais da publicação.” | DOC-C02-016: “TÍTULO: Cognitive Execution Risk Management — v0.1”, com guardrail “Não reivindicar criação de ‘Cognitive Risk Management’”.</t>
        </is>
      </c>
      <c r="J619" s="17" t="n"/>
      <c r="K619" s="17" t="inlineStr">
        <is>
          <t>alta</t>
        </is>
      </c>
      <c r="L619" s="17" t="inlineStr">
        <is>
          <t>preenchido</t>
        </is>
      </c>
    </row>
    <row r="620">
      <c r="A620" s="17" t="inlineStr">
        <is>
          <t>EV-91303e3caa</t>
        </is>
      </c>
      <c r="B620" s="17" t="inlineStr">
        <is>
          <t>formulario</t>
        </is>
      </c>
      <c r="C620" s="17" t="inlineStr">
        <is>
          <t>dia1-2</t>
        </is>
      </c>
      <c r="D620" s="17" t="inlineStr">
        <is>
          <t>2.2 Contexto do PRD</t>
        </is>
      </c>
      <c r="E620" s="17" t="n"/>
      <c r="F620" s="17" t="inlineStr">
        <is>
          <t>PRODUTO</t>
        </is>
      </c>
      <c r="G620" s="17" t="inlineStr">
        <is>
          <t>ECO-01</t>
        </is>
      </c>
      <c r="H620" s="17" t="inlineStr">
        <is>
          <t>DOC-C07-010</t>
        </is>
      </c>
      <c r="I620" s="18" t="inlineStr">
        <is>
          <t>DOC-C07-010: “ID DATA-ADHD-PM-001 · Tipo Pesquisa — Matriz de evidências e implicações de produto · Owner Não determinado · Versão 1.0 · Data 19/08/2026”; “Next 01 Transformar a matriz abaixo em requisitos funcionais e princípios de design verificáveis.” | DOC-C04-002: “Câmera compacta por padrão (PRD-006/UX-004: velocidade de captura antes de prévia grande)” e “Offline (OQ-008 do FRD original do Scanner) segue fora de escopo, nunca implementado.”</t>
        </is>
      </c>
      <c r="J620" s="17" t="n"/>
      <c r="K620" s="17" t="inlineStr">
        <is>
          <t>media</t>
        </is>
      </c>
      <c r="L620" s="17" t="inlineStr">
        <is>
          <t>parcial</t>
        </is>
      </c>
    </row>
    <row r="621">
      <c r="A621" s="17" t="inlineStr">
        <is>
          <t>EV-7de40b6ff7</t>
        </is>
      </c>
      <c r="B621" s="17" t="inlineStr">
        <is>
          <t>formulario</t>
        </is>
      </c>
      <c r="C621" s="17" t="inlineStr">
        <is>
          <t>dia1-2</t>
        </is>
      </c>
      <c r="D621" s="17" t="inlineStr">
        <is>
          <t>2.2 Contexto do PRD</t>
        </is>
      </c>
      <c r="E621" s="17" t="n"/>
      <c r="F621" s="17" t="inlineStr">
        <is>
          <t>PRODUTO</t>
        </is>
      </c>
      <c r="G621" s="17" t="inlineStr">
        <is>
          <t>ECO-01</t>
        </is>
      </c>
      <c r="H621" s="17" t="inlineStr">
        <is>
          <t>DOC-C07-009</t>
        </is>
      </c>
      <c r="I621" s="18" t="inlineStr">
        <is>
          <t>DOC-C07-010: “ID DATA-ADHD-PM-001 · Tipo Pesquisa — Matriz de evidências e implicações de produto · Owner Não determinado · Versão 1.0 · Data 19/08/2026”; “Next 01 Transformar a matriz abaixo em requisitos funcionais e princípios de design verificáveis.” | DOC-C04-002: “Câmera compacta por padrão (PRD-006/UX-004: velocidade de captura antes de prévia grande)” e “Offline (OQ-008 do FRD original do Scanner) segue fora de escopo, nunca implementado.”</t>
        </is>
      </c>
      <c r="J621" s="17" t="n"/>
      <c r="K621" s="17" t="inlineStr">
        <is>
          <t>media</t>
        </is>
      </c>
      <c r="L621" s="17" t="inlineStr">
        <is>
          <t>parcial</t>
        </is>
      </c>
    </row>
    <row r="622">
      <c r="A622" s="17" t="inlineStr">
        <is>
          <t>EV-3759125879</t>
        </is>
      </c>
      <c r="B622" s="17" t="inlineStr">
        <is>
          <t>formulario</t>
        </is>
      </c>
      <c r="C622" s="17" t="inlineStr">
        <is>
          <t>dia1-2</t>
        </is>
      </c>
      <c r="D622" s="17" t="inlineStr">
        <is>
          <t>2.2 Contexto do PRD</t>
        </is>
      </c>
      <c r="E622" s="17" t="n"/>
      <c r="F622" s="17" t="inlineStr">
        <is>
          <t>PRODUTO</t>
        </is>
      </c>
      <c r="G622" s="17" t="inlineStr">
        <is>
          <t>ECO-01</t>
        </is>
      </c>
      <c r="H622" s="17" t="inlineStr">
        <is>
          <t>DOC-C04-002</t>
        </is>
      </c>
      <c r="I622" s="18" t="inlineStr">
        <is>
          <t>DOC-C07-010: “ID DATA-ADHD-PM-001 · Tipo Pesquisa — Matriz de evidências e implicações de produto · Owner Não determinado · Versão 1.0 · Data 19/08/2026”; “Next 01 Transformar a matriz abaixo em requisitos funcionais e princípios de design verificáveis.” | DOC-C04-002: “Câmera compacta por padrão (PRD-006/UX-004: velocidade de captura antes de prévia grande)” e “Offline (OQ-008 do FRD original do Scanner) segue fora de escopo, nunca implementado.”</t>
        </is>
      </c>
      <c r="J622" s="17" t="n"/>
      <c r="K622" s="17" t="inlineStr">
        <is>
          <t>media</t>
        </is>
      </c>
      <c r="L622" s="17" t="inlineStr">
        <is>
          <t>parcial</t>
        </is>
      </c>
    </row>
    <row r="623">
      <c r="A623" s="17" t="inlineStr">
        <is>
          <t>EV-ced0c464e7</t>
        </is>
      </c>
      <c r="B623" s="17" t="inlineStr">
        <is>
          <t>formulario</t>
        </is>
      </c>
      <c r="C623" s="17" t="inlineStr">
        <is>
          <t>dia1-2</t>
        </is>
      </c>
      <c r="D623" s="17" t="inlineStr">
        <is>
          <t>2.2 Contexto do PRD</t>
        </is>
      </c>
      <c r="E623" s="17" t="n"/>
      <c r="F623" s="17" t="inlineStr">
        <is>
          <t>PRODUTO</t>
        </is>
      </c>
      <c r="G623" s="17" t="inlineStr">
        <is>
          <t>ECO-01</t>
        </is>
      </c>
      <c r="H623" s="17" t="inlineStr">
        <is>
          <t>DOC-C07-002</t>
        </is>
      </c>
      <c r="I623" s="18" t="inlineStr">
        <is>
          <t>DOC-C07-010: “ID DATA-ADHD-PM-001 · Tipo Pesquisa — Matriz de evidências e implicações de produto · Owner Não determinado · Versão 1.0 · Data 19/08/2026”; “Next 01 Transformar a matriz abaixo em requisitos funcionais e princípios de design verificáveis.” | DOC-C04-002: “Câmera compacta por padrão (PRD-006/UX-004: velocidade de captura antes de prévia grande)” e “Offline (OQ-008 do FRD original do Scanner) segue fora de escopo, nunca implementado.”</t>
        </is>
      </c>
      <c r="J623" s="17" t="n"/>
      <c r="K623" s="17" t="inlineStr">
        <is>
          <t>media</t>
        </is>
      </c>
      <c r="L623" s="17" t="inlineStr">
        <is>
          <t>parcial</t>
        </is>
      </c>
    </row>
    <row r="624">
      <c r="A624" s="17" t="inlineStr">
        <is>
          <t>EV-0a1f459ca2</t>
        </is>
      </c>
      <c r="B624" s="17" t="inlineStr">
        <is>
          <t>formulario</t>
        </is>
      </c>
      <c r="C624" s="17" t="inlineStr">
        <is>
          <t>dia1-2</t>
        </is>
      </c>
      <c r="D624" s="17" t="inlineStr">
        <is>
          <t>2.3 Objetivos (goals)</t>
        </is>
      </c>
      <c r="E624" s="17" t="n"/>
      <c r="F624" s="17" t="inlineStr">
        <is>
          <t>PRODUTO</t>
        </is>
      </c>
      <c r="G624" s="17" t="inlineStr">
        <is>
          <t>TRANSVERSAL — objetivos distintos por unidade</t>
        </is>
      </c>
      <c r="H624" s="17" t="inlineStr">
        <is>
          <t>DOC-C07-002</t>
        </is>
      </c>
      <c r="I624" s="18" t="inlineStr">
        <is>
          <t>DOC-C07-002 (Tese operacional): “transferir carga executiva evitável do operador para o sistema, preservando decisão e autonomia do usuário.” | DOC-C02-016 (PROPOSIÇÃO): “Investigar riscos cognitivos endógenos como vulnerabilidades capazes de aumentar a probabilidade de desvio entre intenção e execução”; COMPONENTES PROVISÓRIOS 1–5. | DOC-C02-014 (OBJETIVO): “Publicar o artigo fundador e iniciar a campanha inaugural de 14 dias sem transformar a campanha em lançamento de produto.” | DOC-C06-001: “recomendação: 60h comprometidas + 12h de reserva (83% da capacidade)”. | DOC-C09-013: “4 módulos: Entender → Estruturar → Executar → Evoluir.”</t>
        </is>
      </c>
      <c r="J624" s="17" t="n"/>
      <c r="K624" s="17" t="inlineStr">
        <is>
          <t>alta</t>
        </is>
      </c>
      <c r="L624" s="17" t="inlineStr">
        <is>
          <t>preenchido</t>
        </is>
      </c>
    </row>
    <row r="625">
      <c r="A625" s="17" t="inlineStr">
        <is>
          <t>EV-d41cb56318</t>
        </is>
      </c>
      <c r="B625" s="17" t="inlineStr">
        <is>
          <t>formulario</t>
        </is>
      </c>
      <c r="C625" s="17" t="inlineStr">
        <is>
          <t>dia1-2</t>
        </is>
      </c>
      <c r="D625" s="17" t="inlineStr">
        <is>
          <t>2.3 Objetivos (goals)</t>
        </is>
      </c>
      <c r="E625" s="17" t="n"/>
      <c r="F625" s="17" t="inlineStr">
        <is>
          <t>PRODUTO</t>
        </is>
      </c>
      <c r="G625" s="17" t="inlineStr">
        <is>
          <t>TRANSVERSAL — objetivos distintos por unidade</t>
        </is>
      </c>
      <c r="H625" s="17" t="inlineStr">
        <is>
          <t>DOC-C02-016</t>
        </is>
      </c>
      <c r="I625" s="18" t="inlineStr">
        <is>
          <t>DOC-C07-002 (Tese operacional): “transferir carga executiva evitável do operador para o sistema, preservando decisão e autonomia do usuário.” | DOC-C02-016 (PROPOSIÇÃO): “Investigar riscos cognitivos endógenos como vulnerabilidades capazes de aumentar a probabilidade de desvio entre intenção e execução”; COMPONENTES PROVISÓRIOS 1–5. | DOC-C02-014 (OBJETIVO): “Publicar o artigo fundador e iniciar a campanha inaugural de 14 dias sem transformar a campanha em lançamento de produto.” | DOC-C06-001: “recomendação: 60h comprometidas + 12h de reserva (83% da capacidade)”. | DOC-C09-013: “4 módulos: Entender → Estruturar → Executar → Evoluir.”</t>
        </is>
      </c>
      <c r="J625" s="17" t="n"/>
      <c r="K625" s="17" t="inlineStr">
        <is>
          <t>alta</t>
        </is>
      </c>
      <c r="L625" s="17" t="inlineStr">
        <is>
          <t>preenchido</t>
        </is>
      </c>
    </row>
    <row r="626">
      <c r="A626" s="17" t="inlineStr">
        <is>
          <t>EV-e3e96d8028</t>
        </is>
      </c>
      <c r="B626" s="17" t="inlineStr">
        <is>
          <t>formulario</t>
        </is>
      </c>
      <c r="C626" s="17" t="inlineStr">
        <is>
          <t>dia1-2</t>
        </is>
      </c>
      <c r="D626" s="17" t="inlineStr">
        <is>
          <t>2.3 Objetivos (goals)</t>
        </is>
      </c>
      <c r="E626" s="17" t="n"/>
      <c r="F626" s="17" t="inlineStr">
        <is>
          <t>PRODUTO</t>
        </is>
      </c>
      <c r="G626" s="17" t="inlineStr">
        <is>
          <t>TRANSVERSAL — objetivos distintos por unidade</t>
        </is>
      </c>
      <c r="H626" s="17" t="inlineStr">
        <is>
          <t>DOC-C02-014</t>
        </is>
      </c>
      <c r="I626" s="18" t="inlineStr">
        <is>
          <t>DOC-C07-002 (Tese operacional): “transferir carga executiva evitável do operador para o sistema, preservando decisão e autonomia do usuário.” | DOC-C02-016 (PROPOSIÇÃO): “Investigar riscos cognitivos endógenos como vulnerabilidades capazes de aumentar a probabilidade de desvio entre intenção e execução”; COMPONENTES PROVISÓRIOS 1–5. | DOC-C02-014 (OBJETIVO): “Publicar o artigo fundador e iniciar a campanha inaugural de 14 dias sem transformar a campanha em lançamento de produto.” | DOC-C06-001: “recomendação: 60h comprometidas + 12h de reserva (83% da capacidade)”. | DOC-C09-013: “4 módulos: Entender → Estruturar → Executar → Evoluir.”</t>
        </is>
      </c>
      <c r="J626" s="17" t="n"/>
      <c r="K626" s="17" t="inlineStr">
        <is>
          <t>alta</t>
        </is>
      </c>
      <c r="L626" s="17" t="inlineStr">
        <is>
          <t>preenchido</t>
        </is>
      </c>
    </row>
    <row r="627">
      <c r="A627" s="17" t="inlineStr">
        <is>
          <t>EV-b26fb246a2</t>
        </is>
      </c>
      <c r="B627" s="17" t="inlineStr">
        <is>
          <t>formulario</t>
        </is>
      </c>
      <c r="C627" s="17" t="inlineStr">
        <is>
          <t>dia1-2</t>
        </is>
      </c>
      <c r="D627" s="17" t="inlineStr">
        <is>
          <t>2.3 Objetivos (goals)</t>
        </is>
      </c>
      <c r="E627" s="17" t="n"/>
      <c r="F627" s="17" t="inlineStr">
        <is>
          <t>PRODUTO</t>
        </is>
      </c>
      <c r="G627" s="17" t="inlineStr">
        <is>
          <t>TRANSVERSAL — objetivos distintos por unidade</t>
        </is>
      </c>
      <c r="H627" s="17" t="inlineStr">
        <is>
          <t>DOC-C06-001</t>
        </is>
      </c>
      <c r="I627" s="18" t="inlineStr">
        <is>
          <t>DOC-C07-002 (Tese operacional): “transferir carga executiva evitável do operador para o sistema, preservando decisão e autonomia do usuário.” | DOC-C02-016 (PROPOSIÇÃO): “Investigar riscos cognitivos endógenos como vulnerabilidades capazes de aumentar a probabilidade de desvio entre intenção e execução”; COMPONENTES PROVISÓRIOS 1–5. | DOC-C02-014 (OBJETIVO): “Publicar o artigo fundador e iniciar a campanha inaugural de 14 dias sem transformar a campanha em lançamento de produto.” | DOC-C06-001: “recomendação: 60h comprometidas + 12h de reserva (83% da capacidade)”. | DOC-C09-013: “4 módulos: Entender → Estruturar → Executar → Evoluir.”</t>
        </is>
      </c>
      <c r="J627" s="17" t="n"/>
      <c r="K627" s="17" t="inlineStr">
        <is>
          <t>alta</t>
        </is>
      </c>
      <c r="L627" s="17" t="inlineStr">
        <is>
          <t>preenchido</t>
        </is>
      </c>
    </row>
    <row r="628">
      <c r="A628" s="17" t="inlineStr">
        <is>
          <t>EV-c0794141d5</t>
        </is>
      </c>
      <c r="B628" s="17" t="inlineStr">
        <is>
          <t>formulario</t>
        </is>
      </c>
      <c r="C628" s="17" t="inlineStr">
        <is>
          <t>dia1-2</t>
        </is>
      </c>
      <c r="D628" s="17" t="inlineStr">
        <is>
          <t>2.3 Objetivos (goals)</t>
        </is>
      </c>
      <c r="E628" s="17" t="n"/>
      <c r="F628" s="17" t="inlineStr">
        <is>
          <t>PRODUTO</t>
        </is>
      </c>
      <c r="G628" s="17" t="inlineStr">
        <is>
          <t>TRANSVERSAL — objetivos distintos por unidade</t>
        </is>
      </c>
      <c r="H628" s="17" t="inlineStr">
        <is>
          <t>DOC-C09-013</t>
        </is>
      </c>
      <c r="I628" s="18" t="inlineStr">
        <is>
          <t>DOC-C07-002 (Tese operacional): “transferir carga executiva evitável do operador para o sistema, preservando decisão e autonomia do usuário.” | DOC-C02-016 (PROPOSIÇÃO): “Investigar riscos cognitivos endógenos como vulnerabilidades capazes de aumentar a probabilidade de desvio entre intenção e execução”; COMPONENTES PROVISÓRIOS 1–5. | DOC-C02-014 (OBJETIVO): “Publicar o artigo fundador e iniciar a campanha inaugural de 14 dias sem transformar a campanha em lançamento de produto.” | DOC-C06-001: “recomendação: 60h comprometidas + 12h de reserva (83% da capacidade)”. | DOC-C09-013: “4 módulos: Entender → Estruturar → Executar → Evoluir.”</t>
        </is>
      </c>
      <c r="J628" s="17" t="n"/>
      <c r="K628" s="17" t="inlineStr">
        <is>
          <t>alta</t>
        </is>
      </c>
      <c r="L628" s="17" t="inlineStr">
        <is>
          <t>preenchido</t>
        </is>
      </c>
    </row>
    <row r="629">
      <c r="A629" s="17" t="inlineStr">
        <is>
          <t>EV-b655fc9f07</t>
        </is>
      </c>
      <c r="B629" s="17" t="inlineStr">
        <is>
          <t>formulario</t>
        </is>
      </c>
      <c r="C629" s="17" t="inlineStr">
        <is>
          <t>dia1-2</t>
        </is>
      </c>
      <c r="D629" s="17" t="inlineStr">
        <is>
          <t>2.3 Objetivos (goals)</t>
        </is>
      </c>
      <c r="E629" s="17" t="n"/>
      <c r="F629" s="17" t="inlineStr">
        <is>
          <t>PRODUTO</t>
        </is>
      </c>
      <c r="G629" s="17" t="inlineStr">
        <is>
          <t>TRANSVERSAL — objetivos distintos por unidade</t>
        </is>
      </c>
      <c r="H629" s="17" t="inlineStr">
        <is>
          <t>DOC-C02-017</t>
        </is>
      </c>
      <c r="I629" s="18" t="inlineStr">
        <is>
          <t>DOC-C07-002 (Tese operacional): “transferir carga executiva evitável do operador para o sistema, preservando decisão e autonomia do usuário.” | DOC-C02-016 (PROPOSIÇÃO): “Investigar riscos cognitivos endógenos como vulnerabilidades capazes de aumentar a probabilidade de desvio entre intenção e execução”; COMPONENTES PROVISÓRIOS 1–5. | DOC-C02-014 (OBJETIVO): “Publicar o artigo fundador e iniciar a campanha inaugural de 14 dias sem transformar a campanha em lançamento de produto.” | DOC-C06-001: “recomendação: 60h comprometidas + 12h de reserva (83% da capacidade)”. | DOC-C09-013: “4 módulos: Entender → Estruturar → Executar → Evoluir.”</t>
        </is>
      </c>
      <c r="J629" s="17" t="n"/>
      <c r="K629" s="17" t="inlineStr">
        <is>
          <t>alta</t>
        </is>
      </c>
      <c r="L629" s="17" t="inlineStr">
        <is>
          <t>preenchido</t>
        </is>
      </c>
    </row>
    <row r="630">
      <c r="A630" s="17" t="inlineStr">
        <is>
          <t>EV-5767737136</t>
        </is>
      </c>
      <c r="B630" s="17" t="inlineStr">
        <is>
          <t>formulario</t>
        </is>
      </c>
      <c r="C630" s="17" t="inlineStr">
        <is>
          <t>dia1-2</t>
        </is>
      </c>
      <c r="D630" s="17" t="inlineStr">
        <is>
          <t>2.4 Não-objetivos (non-goals)</t>
        </is>
      </c>
      <c r="E630" s="17" t="n"/>
      <c r="F630" s="17" t="inlineStr">
        <is>
          <t>PRODUTO</t>
        </is>
      </c>
      <c r="G630" s="17" t="inlineStr">
        <is>
          <t>TRANSVERSAL</t>
        </is>
      </c>
      <c r="H630" s="17" t="inlineStr">
        <is>
          <t>DOC-C07-009</t>
        </is>
      </c>
      <c r="I630" s="18" t="inlineStr">
        <is>
          <t>DOC-C07-009 (PROD-14): “Bloquear usos do produto como diagnóstico, substituição profissional ou inferência clínica a partir de desempenho em tarefas”; (claims_policy.prohibited_now): lista literal dos seis claims. | DOC-C04-002 (item 4e): “Offline (OQ-008 do FRD original do Scanner) segue fora de escopo, nunca implementado.”; e “Duas explorações de design JÁ REGISTRADAS no ecossistema e DELIBERADAMENTE NÃO ADOTADAS aqui”. | DOC-C02-043: “O artigo não termina vendendo EXECUTAR.” | DOC-C02-016 (GUARDRAIL): “Não reivindicar criação de ‘Cognitive Risk Management’.” | DOC-C09-008 (Regra): “Não imobilizar estoque relevante antes de validar intenção.” | DOC-C06-001 (07/09): “Não é: Editar landing · Terminar vídeo · Produzir post · Cadastrar produto. Se isso estiver acontecendo em 07/09, o Freeze falhou.”</t>
        </is>
      </c>
      <c r="J630" s="17" t="n"/>
      <c r="K630" s="17" t="inlineStr">
        <is>
          <t>alta</t>
        </is>
      </c>
      <c r="L630" s="17" t="inlineStr">
        <is>
          <t>preenchido</t>
        </is>
      </c>
    </row>
    <row r="631">
      <c r="A631" s="17" t="inlineStr">
        <is>
          <t>EV-d573925ff2</t>
        </is>
      </c>
      <c r="B631" s="17" t="inlineStr">
        <is>
          <t>formulario</t>
        </is>
      </c>
      <c r="C631" s="17" t="inlineStr">
        <is>
          <t>dia1-2</t>
        </is>
      </c>
      <c r="D631" s="17" t="inlineStr">
        <is>
          <t>2.4 Não-objetivos (non-goals)</t>
        </is>
      </c>
      <c r="E631" s="17" t="n"/>
      <c r="F631" s="17" t="inlineStr">
        <is>
          <t>PRODUTO</t>
        </is>
      </c>
      <c r="G631" s="17" t="inlineStr">
        <is>
          <t>TRANSVERSAL</t>
        </is>
      </c>
      <c r="H631" s="17" t="inlineStr">
        <is>
          <t>DOC-C04-002</t>
        </is>
      </c>
      <c r="I631" s="18" t="inlineStr">
        <is>
          <t>DOC-C07-009 (PROD-14): “Bloquear usos do produto como diagnóstico, substituição profissional ou inferência clínica a partir de desempenho em tarefas”; (claims_policy.prohibited_now): lista literal dos seis claims. | DOC-C04-002 (item 4e): “Offline (OQ-008 do FRD original do Scanner) segue fora de escopo, nunca implementado.”; e “Duas explorações de design JÁ REGISTRADAS no ecossistema e DELIBERADAMENTE NÃO ADOTADAS aqui”. | DOC-C02-043: “O artigo não termina vendendo EXECUTAR.” | DOC-C02-016 (GUARDRAIL): “Não reivindicar criação de ‘Cognitive Risk Management’.” | DOC-C09-008 (Regra): “Não imobilizar estoque relevante antes de validar intenção.” | DOC-C06-001 (07/09): “Não é: Editar landing · Terminar vídeo · Produzir post · Cadastrar produto. Se isso estiver acontecendo em 07/09, o Freeze falhou.”</t>
        </is>
      </c>
      <c r="J631" s="17" t="n"/>
      <c r="K631" s="17" t="inlineStr">
        <is>
          <t>alta</t>
        </is>
      </c>
      <c r="L631" s="17" t="inlineStr">
        <is>
          <t>preenchido</t>
        </is>
      </c>
    </row>
    <row r="632">
      <c r="A632" s="17" t="inlineStr">
        <is>
          <t>EV-36e07d8c0c</t>
        </is>
      </c>
      <c r="B632" s="17" t="inlineStr">
        <is>
          <t>formulario</t>
        </is>
      </c>
      <c r="C632" s="17" t="inlineStr">
        <is>
          <t>dia1-2</t>
        </is>
      </c>
      <c r="D632" s="17" t="inlineStr">
        <is>
          <t>2.4 Não-objetivos (non-goals)</t>
        </is>
      </c>
      <c r="E632" s="17" t="n"/>
      <c r="F632" s="17" t="inlineStr">
        <is>
          <t>PRODUTO</t>
        </is>
      </c>
      <c r="G632" s="17" t="inlineStr">
        <is>
          <t>TRANSVERSAL</t>
        </is>
      </c>
      <c r="H632" s="17" t="inlineStr">
        <is>
          <t>DOC-C02-043</t>
        </is>
      </c>
      <c r="I632" s="18" t="inlineStr">
        <is>
          <t>DOC-C07-009 (PROD-14): “Bloquear usos do produto como diagnóstico, substituição profissional ou inferência clínica a partir de desempenho em tarefas”; (claims_policy.prohibited_now): lista literal dos seis claims. | DOC-C04-002 (item 4e): “Offline (OQ-008 do FRD original do Scanner) segue fora de escopo, nunca implementado.”; e “Duas explorações de design JÁ REGISTRADAS no ecossistema e DELIBERADAMENTE NÃO ADOTADAS aqui”. | DOC-C02-043: “O artigo não termina vendendo EXECUTAR.” | DOC-C02-016 (GUARDRAIL): “Não reivindicar criação de ‘Cognitive Risk Management’.” | DOC-C09-008 (Regra): “Não imobilizar estoque relevante antes de validar intenção.” | DOC-C06-001 (07/09): “Não é: Editar landing · Terminar vídeo · Produzir post · Cadastrar produto. Se isso estiver acontecendo em 07/09, o Freeze falhou.”</t>
        </is>
      </c>
      <c r="J632" s="17" t="n"/>
      <c r="K632" s="17" t="inlineStr">
        <is>
          <t>alta</t>
        </is>
      </c>
      <c r="L632" s="17" t="inlineStr">
        <is>
          <t>preenchido</t>
        </is>
      </c>
    </row>
    <row r="633">
      <c r="A633" s="17" t="inlineStr">
        <is>
          <t>EV-c42e2133bb</t>
        </is>
      </c>
      <c r="B633" s="17" t="inlineStr">
        <is>
          <t>formulario</t>
        </is>
      </c>
      <c r="C633" s="17" t="inlineStr">
        <is>
          <t>dia1-2</t>
        </is>
      </c>
      <c r="D633" s="17" t="inlineStr">
        <is>
          <t>2.4 Não-objetivos (non-goals)</t>
        </is>
      </c>
      <c r="E633" s="17" t="n"/>
      <c r="F633" s="17" t="inlineStr">
        <is>
          <t>PRODUTO</t>
        </is>
      </c>
      <c r="G633" s="17" t="inlineStr">
        <is>
          <t>TRANSVERSAL</t>
        </is>
      </c>
      <c r="H633" s="17" t="inlineStr">
        <is>
          <t>DOC-C02-014</t>
        </is>
      </c>
      <c r="I633" s="18" t="inlineStr">
        <is>
          <t>DOC-C07-009 (PROD-14): “Bloquear usos do produto como diagnóstico, substituição profissional ou inferência clínica a partir de desempenho em tarefas”; (claims_policy.prohibited_now): lista literal dos seis claims. | DOC-C04-002 (item 4e): “Offline (OQ-008 do FRD original do Scanner) segue fora de escopo, nunca implementado.”; e “Duas explorações de design JÁ REGISTRADAS no ecossistema e DELIBERADAMENTE NÃO ADOTADAS aqui”. | DOC-C02-043: “O artigo não termina vendendo EXECUTAR.” | DOC-C02-016 (GUARDRAIL): “Não reivindicar criação de ‘Cognitive Risk Management’.” | DOC-C09-008 (Regra): “Não imobilizar estoque relevante antes de validar intenção.” | DOC-C06-001 (07/09): “Não é: Editar landing · Terminar vídeo · Produzir post · Cadastrar produto. Se isso estiver acontecendo em 07/09, o Freeze falhou.”</t>
        </is>
      </c>
      <c r="J633" s="17" t="n"/>
      <c r="K633" s="17" t="inlineStr">
        <is>
          <t>alta</t>
        </is>
      </c>
      <c r="L633" s="17" t="inlineStr">
        <is>
          <t>preenchido</t>
        </is>
      </c>
    </row>
    <row r="634">
      <c r="A634" s="17" t="inlineStr">
        <is>
          <t>EV-e862e36094</t>
        </is>
      </c>
      <c r="B634" s="17" t="inlineStr">
        <is>
          <t>formulario</t>
        </is>
      </c>
      <c r="C634" s="17" t="inlineStr">
        <is>
          <t>dia1-2</t>
        </is>
      </c>
      <c r="D634" s="17" t="inlineStr">
        <is>
          <t>2.4 Não-objetivos (non-goals)</t>
        </is>
      </c>
      <c r="E634" s="17" t="n"/>
      <c r="F634" s="17" t="inlineStr">
        <is>
          <t>PRODUTO</t>
        </is>
      </c>
      <c r="G634" s="17" t="inlineStr">
        <is>
          <t>TRANSVERSAL</t>
        </is>
      </c>
      <c r="H634" s="17" t="inlineStr">
        <is>
          <t>DOC-C02-016</t>
        </is>
      </c>
      <c r="I634" s="18" t="inlineStr">
        <is>
          <t>DOC-C07-009 (PROD-14): “Bloquear usos do produto como diagnóstico, substituição profissional ou inferência clínica a partir de desempenho em tarefas”; (claims_policy.prohibited_now): lista literal dos seis claims. | DOC-C04-002 (item 4e): “Offline (OQ-008 do FRD original do Scanner) segue fora de escopo, nunca implementado.”; e “Duas explorações de design JÁ REGISTRADAS no ecossistema e DELIBERADAMENTE NÃO ADOTADAS aqui”. | DOC-C02-043: “O artigo não termina vendendo EXECUTAR.” | DOC-C02-016 (GUARDRAIL): “Não reivindicar criação de ‘Cognitive Risk Management’.” | DOC-C09-008 (Regra): “Não imobilizar estoque relevante antes de validar intenção.” | DOC-C06-001 (07/09): “Não é: Editar landing · Terminar vídeo · Produzir post · Cadastrar produto. Se isso estiver acontecendo em 07/09, o Freeze falhou.”</t>
        </is>
      </c>
      <c r="J634" s="17" t="n"/>
      <c r="K634" s="17" t="inlineStr">
        <is>
          <t>alta</t>
        </is>
      </c>
      <c r="L634" s="17" t="inlineStr">
        <is>
          <t>preenchido</t>
        </is>
      </c>
    </row>
    <row r="635">
      <c r="A635" s="17" t="inlineStr">
        <is>
          <t>EV-e3ca04681a</t>
        </is>
      </c>
      <c r="B635" s="17" t="inlineStr">
        <is>
          <t>formulario</t>
        </is>
      </c>
      <c r="C635" s="17" t="inlineStr">
        <is>
          <t>dia1-2</t>
        </is>
      </c>
      <c r="D635" s="17" t="inlineStr">
        <is>
          <t>2.4 Não-objetivos (non-goals)</t>
        </is>
      </c>
      <c r="E635" s="17" t="n"/>
      <c r="F635" s="17" t="inlineStr">
        <is>
          <t>PRODUTO</t>
        </is>
      </c>
      <c r="G635" s="17" t="inlineStr">
        <is>
          <t>TRANSVERSAL</t>
        </is>
      </c>
      <c r="H635" s="17" t="inlineStr">
        <is>
          <t>DOC-C09-008</t>
        </is>
      </c>
      <c r="I635" s="18" t="inlineStr">
        <is>
          <t>DOC-C07-009 (PROD-14): “Bloquear usos do produto como diagnóstico, substituição profissional ou inferência clínica a partir de desempenho em tarefas”; (claims_policy.prohibited_now): lista literal dos seis claims. | DOC-C04-002 (item 4e): “Offline (OQ-008 do FRD original do Scanner) segue fora de escopo, nunca implementado.”; e “Duas explorações de design JÁ REGISTRADAS no ecossistema e DELIBERADAMENTE NÃO ADOTADAS aqui”. | DOC-C02-043: “O artigo não termina vendendo EXECUTAR.” | DOC-C02-016 (GUARDRAIL): “Não reivindicar criação de ‘Cognitive Risk Management’.” | DOC-C09-008 (Regra): “Não imobilizar estoque relevante antes de validar intenção.” | DOC-C06-001 (07/09): “Não é: Editar landing · Terminar vídeo · Produzir post · Cadastrar produto. Se isso estiver acontecendo em 07/09, o Freeze falhou.”</t>
        </is>
      </c>
      <c r="J635" s="17" t="n"/>
      <c r="K635" s="17" t="inlineStr">
        <is>
          <t>alta</t>
        </is>
      </c>
      <c r="L635" s="17" t="inlineStr">
        <is>
          <t>preenchido</t>
        </is>
      </c>
    </row>
    <row r="636">
      <c r="A636" s="17" t="inlineStr">
        <is>
          <t>EV-43d842d94b</t>
        </is>
      </c>
      <c r="B636" s="17" t="inlineStr">
        <is>
          <t>formulario</t>
        </is>
      </c>
      <c r="C636" s="17" t="inlineStr">
        <is>
          <t>dia1-2</t>
        </is>
      </c>
      <c r="D636" s="17" t="inlineStr">
        <is>
          <t>2.4 Não-objetivos (non-goals)</t>
        </is>
      </c>
      <c r="E636" s="17" t="n"/>
      <c r="F636" s="17" t="inlineStr">
        <is>
          <t>PRODUTO</t>
        </is>
      </c>
      <c r="G636" s="17" t="inlineStr">
        <is>
          <t>TRANSVERSAL</t>
        </is>
      </c>
      <c r="H636" s="17" t="inlineStr">
        <is>
          <t>DOC-C05-001</t>
        </is>
      </c>
      <c r="I636" s="18" t="inlineStr">
        <is>
          <t>DOC-C07-009 (PROD-14): “Bloquear usos do produto como diagnóstico, substituição profissional ou inferência clínica a partir de desempenho em tarefas”; (claims_policy.prohibited_now): lista literal dos seis claims. | DOC-C04-002 (item 4e): “Offline (OQ-008 do FRD original do Scanner) segue fora de escopo, nunca implementado.”; e “Duas explorações de design JÁ REGISTRADAS no ecossistema e DELIBERADAMENTE NÃO ADOTADAS aqui”. | DOC-C02-043: “O artigo não termina vendendo EXECUTAR.” | DOC-C02-016 (GUARDRAIL): “Não reivindicar criação de ‘Cognitive Risk Management’.” | DOC-C09-008 (Regra): “Não imobilizar estoque relevante antes de validar intenção.” | DOC-C06-001 (07/09): “Não é: Editar landing · Terminar vídeo · Produzir post · Cadastrar produto. Se isso estiver acontecendo em 07/09, o Freeze falhou.”</t>
        </is>
      </c>
      <c r="J636" s="17" t="n"/>
      <c r="K636" s="17" t="inlineStr">
        <is>
          <t>alta</t>
        </is>
      </c>
      <c r="L636" s="17" t="inlineStr">
        <is>
          <t>preenchido</t>
        </is>
      </c>
    </row>
    <row r="637">
      <c r="A637" s="17" t="inlineStr">
        <is>
          <t>EV-d0b466d8e6</t>
        </is>
      </c>
      <c r="B637" s="17" t="inlineStr">
        <is>
          <t>formulario</t>
        </is>
      </c>
      <c r="C637" s="17" t="inlineStr">
        <is>
          <t>dia1-2</t>
        </is>
      </c>
      <c r="D637" s="17" t="inlineStr">
        <is>
          <t>2.4 Não-objetivos (non-goals)</t>
        </is>
      </c>
      <c r="E637" s="17" t="n"/>
      <c r="F637" s="17" t="inlineStr">
        <is>
          <t>PRODUTO</t>
        </is>
      </c>
      <c r="G637" s="17" t="inlineStr">
        <is>
          <t>TRANSVERSAL</t>
        </is>
      </c>
      <c r="H637" s="17" t="inlineStr">
        <is>
          <t>DOC-C06-001</t>
        </is>
      </c>
      <c r="I637" s="18" t="inlineStr">
        <is>
          <t>DOC-C07-009 (PROD-14): “Bloquear usos do produto como diagnóstico, substituição profissional ou inferência clínica a partir de desempenho em tarefas”; (claims_policy.prohibited_now): lista literal dos seis claims. | DOC-C04-002 (item 4e): “Offline (OQ-008 do FRD original do Scanner) segue fora de escopo, nunca implementado.”; e “Duas explorações de design JÁ REGISTRADAS no ecossistema e DELIBERADAMENTE NÃO ADOTADAS aqui”. | DOC-C02-043: “O artigo não termina vendendo EXECUTAR.” | DOC-C02-016 (GUARDRAIL): “Não reivindicar criação de ‘Cognitive Risk Management’.” | DOC-C09-008 (Regra): “Não imobilizar estoque relevante antes de validar intenção.” | DOC-C06-001 (07/09): “Não é: Editar landing · Terminar vídeo · Produzir post · Cadastrar produto. Se isso estiver acontecendo em 07/09, o Freeze falhou.”</t>
        </is>
      </c>
      <c r="J637" s="17" t="n"/>
      <c r="K637" s="17" t="inlineStr">
        <is>
          <t>alta</t>
        </is>
      </c>
      <c r="L637" s="17" t="inlineStr">
        <is>
          <t>preenchido</t>
        </is>
      </c>
    </row>
    <row r="638">
      <c r="A638" s="17" t="inlineStr">
        <is>
          <t>EV-231428ed18</t>
        </is>
      </c>
      <c r="B638" s="17" t="inlineStr">
        <is>
          <t>formulario</t>
        </is>
      </c>
      <c r="C638" s="17" t="inlineStr">
        <is>
          <t>dia1-2</t>
        </is>
      </c>
      <c r="D638" s="17" t="inlineStr">
        <is>
          <t>2.5 Requisitos funcionais (FRD)</t>
        </is>
      </c>
      <c r="E638" s="17" t="n"/>
      <c r="F638" s="17" t="inlineStr">
        <is>
          <t>PRODUTO</t>
        </is>
      </c>
      <c r="G638" s="17" t="inlineStr">
        <is>
          <t>ECO-01</t>
        </is>
      </c>
      <c r="H638" s="17" t="inlineStr">
        <is>
          <t>DOC-C04-002</t>
        </is>
      </c>
      <c r="I638" s="18" t="inlineStr">
        <is>
          <t>DOC-C04-002: “idempotencyKeyScanner(organizationId, acao, alvo, nowMs) → bucket de 10s, evita duplo-scan acidental”; “Undo: janela de 8s, restaura o EstadoOperacional anterior via o mesmo endpoint de salvar estado com expectedRevision”; “concluirPorGestoHumano(tasks, state, taskId, nota) — Ignora TODAS as flags de PoliticaConclusao […] Reservado DELIBERADAMENTE só para gesto humano direto”. | DOC-C05-001 (item 16 Componentes sistêmicos): lista literal dos onze componentes. | DOC-C07-009 (PROD-09): “A interface deve tornar explícita uma única próxima ação principal e esconder complexidade secundária até ser necessária.”</t>
        </is>
      </c>
      <c r="J638" s="17" t="n"/>
      <c r="K638" s="17" t="inlineStr">
        <is>
          <t>alta</t>
        </is>
      </c>
      <c r="L638" s="17" t="inlineStr">
        <is>
          <t>preenchido</t>
        </is>
      </c>
    </row>
    <row r="639">
      <c r="A639" s="17" t="inlineStr">
        <is>
          <t>EV-ae213cce24</t>
        </is>
      </c>
      <c r="B639" s="17" t="inlineStr">
        <is>
          <t>formulario</t>
        </is>
      </c>
      <c r="C639" s="17" t="inlineStr">
        <is>
          <t>dia1-2</t>
        </is>
      </c>
      <c r="D639" s="17" t="inlineStr">
        <is>
          <t>2.5 Requisitos funcionais (FRD)</t>
        </is>
      </c>
      <c r="E639" s="17" t="n"/>
      <c r="F639" s="17" t="inlineStr">
        <is>
          <t>PRODUTO</t>
        </is>
      </c>
      <c r="G639" s="17" t="inlineStr">
        <is>
          <t>ECO-01</t>
        </is>
      </c>
      <c r="H639" s="17" t="inlineStr">
        <is>
          <t>DOC-C05-001</t>
        </is>
      </c>
      <c r="I639" s="18" t="inlineStr">
        <is>
          <t>DOC-C04-002: “idempotencyKeyScanner(organizationId, acao, alvo, nowMs) → bucket de 10s, evita duplo-scan acidental”; “Undo: janela de 8s, restaura o EstadoOperacional anterior via o mesmo endpoint de salvar estado com expectedRevision”; “concluirPorGestoHumano(tasks, state, taskId, nota) — Ignora TODAS as flags de PoliticaConclusao […] Reservado DELIBERADAMENTE só para gesto humano direto”. | DOC-C05-001 (item 16 Componentes sistêmicos): lista literal dos onze componentes. | DOC-C07-009 (PROD-09): “A interface deve tornar explícita uma única próxima ação principal e esconder complexidade secundária até ser necessária.”</t>
        </is>
      </c>
      <c r="J639" s="17" t="n"/>
      <c r="K639" s="17" t="inlineStr">
        <is>
          <t>alta</t>
        </is>
      </c>
      <c r="L639" s="17" t="inlineStr">
        <is>
          <t>preenchido</t>
        </is>
      </c>
    </row>
    <row r="640">
      <c r="A640" s="17" t="inlineStr">
        <is>
          <t>EV-f3714881c8</t>
        </is>
      </c>
      <c r="B640" s="17" t="inlineStr">
        <is>
          <t>formulario</t>
        </is>
      </c>
      <c r="C640" s="17" t="inlineStr">
        <is>
          <t>dia1-2</t>
        </is>
      </c>
      <c r="D640" s="17" t="inlineStr">
        <is>
          <t>2.5 Requisitos funcionais (FRD)</t>
        </is>
      </c>
      <c r="E640" s="17" t="n"/>
      <c r="F640" s="17" t="inlineStr">
        <is>
          <t>PRODUTO</t>
        </is>
      </c>
      <c r="G640" s="17" t="inlineStr">
        <is>
          <t>ECO-01</t>
        </is>
      </c>
      <c r="H640" s="17" t="inlineStr">
        <is>
          <t>DOC-C07-009</t>
        </is>
      </c>
      <c r="I640" s="18" t="inlineStr">
        <is>
          <t>DOC-C04-002: “idempotencyKeyScanner(organizationId, acao, alvo, nowMs) → bucket de 10s, evita duplo-scan acidental”; “Undo: janela de 8s, restaura o EstadoOperacional anterior via o mesmo endpoint de salvar estado com expectedRevision”; “concluirPorGestoHumano(tasks, state, taskId, nota) — Ignora TODAS as flags de PoliticaConclusao […] Reservado DELIBERADAMENTE só para gesto humano direto”. | DOC-C05-001 (item 16 Componentes sistêmicos): lista literal dos onze componentes. | DOC-C07-009 (PROD-09): “A interface deve tornar explícita uma única próxima ação principal e esconder complexidade secundária até ser necessária.”</t>
        </is>
      </c>
      <c r="J640" s="17" t="n"/>
      <c r="K640" s="17" t="inlineStr">
        <is>
          <t>alta</t>
        </is>
      </c>
      <c r="L640" s="17" t="inlineStr">
        <is>
          <t>preenchido</t>
        </is>
      </c>
    </row>
    <row r="641">
      <c r="A641" s="17" t="inlineStr">
        <is>
          <t>EV-019695f880</t>
        </is>
      </c>
      <c r="B641" s="17" t="inlineStr">
        <is>
          <t>formulario</t>
        </is>
      </c>
      <c r="C641" s="17" t="inlineStr">
        <is>
          <t>dia1-2</t>
        </is>
      </c>
      <c r="D641" s="17" t="inlineStr">
        <is>
          <t>2.5 Requisitos funcionais (FRD)</t>
        </is>
      </c>
      <c r="E641" s="17" t="n"/>
      <c r="F641" s="17" t="inlineStr">
        <is>
          <t>PRODUTO</t>
        </is>
      </c>
      <c r="G641" s="17" t="inlineStr">
        <is>
          <t>ECO-01</t>
        </is>
      </c>
      <c r="H641" s="17" t="inlineStr">
        <is>
          <t>DOC-C11-006</t>
        </is>
      </c>
      <c r="I641" s="18" t="inlineStr">
        <is>
          <t>DOC-C04-002: “idempotencyKeyScanner(organizationId, acao, alvo, nowMs) → bucket de 10s, evita duplo-scan acidental”; “Undo: janela de 8s, restaura o EstadoOperacional anterior via o mesmo endpoint de salvar estado com expectedRevision”; “concluirPorGestoHumano(tasks, state, taskId, nota) — Ignora TODAS as flags de PoliticaConclusao […] Reservado DELIBERADAMENTE só para gesto humano direto”. | DOC-C05-001 (item 16 Componentes sistêmicos): lista literal dos onze componentes. | DOC-C07-009 (PROD-09): “A interface deve tornar explícita uma única próxima ação principal e esconder complexidade secundária até ser necessária.”</t>
        </is>
      </c>
      <c r="J641" s="17" t="n"/>
      <c r="K641" s="17" t="inlineStr">
        <is>
          <t>alta</t>
        </is>
      </c>
      <c r="L641" s="17" t="inlineStr">
        <is>
          <t>preenchido</t>
        </is>
      </c>
    </row>
    <row r="642">
      <c r="A642" s="17" t="inlineStr">
        <is>
          <t>EV-da3695efcf</t>
        </is>
      </c>
      <c r="B642" s="17" t="inlineStr">
        <is>
          <t>formulario</t>
        </is>
      </c>
      <c r="C642" s="17" t="inlineStr">
        <is>
          <t>dia1-2</t>
        </is>
      </c>
      <c r="D642" s="17" t="inlineStr">
        <is>
          <t>2.5 Requisitos funcionais (FRD)</t>
        </is>
      </c>
      <c r="E642" s="17" t="n"/>
      <c r="F642" s="17" t="inlineStr">
        <is>
          <t>PRODUTO</t>
        </is>
      </c>
      <c r="G642" s="17" t="inlineStr">
        <is>
          <t>ECO-01</t>
        </is>
      </c>
      <c r="H642" s="17" t="inlineStr">
        <is>
          <t>DOC-C11-004</t>
        </is>
      </c>
      <c r="I642" s="18" t="inlineStr">
        <is>
          <t>DOC-C04-002: “idempotencyKeyScanner(organizationId, acao, alvo, nowMs) → bucket de 10s, evita duplo-scan acidental”; “Undo: janela de 8s, restaura o EstadoOperacional anterior via o mesmo endpoint de salvar estado com expectedRevision”; “concluirPorGestoHumano(tasks, state, taskId, nota) — Ignora TODAS as flags de PoliticaConclusao […] Reservado DELIBERADAMENTE só para gesto humano direto”. | DOC-C05-001 (item 16 Componentes sistêmicos): lista literal dos onze componentes. | DOC-C07-009 (PROD-09): “A interface deve tornar explícita uma única próxima ação principal e esconder complexidade secundária até ser necessária.”</t>
        </is>
      </c>
      <c r="J642" s="17" t="n"/>
      <c r="K642" s="17" t="inlineStr">
        <is>
          <t>alta</t>
        </is>
      </c>
      <c r="L642" s="17" t="inlineStr">
        <is>
          <t>preenchido</t>
        </is>
      </c>
    </row>
    <row r="643">
      <c r="A643" s="17" t="inlineStr">
        <is>
          <t>EV-22f1027de2</t>
        </is>
      </c>
      <c r="B643" s="17" t="inlineStr">
        <is>
          <t>formulario</t>
        </is>
      </c>
      <c r="C643" s="17" t="inlineStr">
        <is>
          <t>dia1-2</t>
        </is>
      </c>
      <c r="D643" s="17" t="inlineStr">
        <is>
          <t>2.6 Critérios de aceite</t>
        </is>
      </c>
      <c r="E643" s="17" t="n"/>
      <c r="F643" s="17" t="inlineStr">
        <is>
          <t>PRODUTO</t>
        </is>
      </c>
      <c r="G643" s="17" t="inlineStr">
        <is>
          <t>TRANSVERSAL</t>
        </is>
      </c>
      <c r="H643" s="17" t="inlineStr">
        <is>
          <t>DOC-C06-001</t>
        </is>
      </c>
      <c r="I643" s="18" t="inlineStr">
        <is>
          <t>DOC-C06-001: “Definition of Done editorial: texto aprovado + assets presentes + CTA funcional + brinde funcional + CMS carregado + SEO preenchido + links testados + publicação/agendamento confirmado + evidência registrada.” | DOC-C08-007: lista literal dos dez critérios de congelamento de 05/09. | DOC-C04-002: “bun run --filter=app test (vitest) → 51/51 passando”; “node --test tests/ondas/*.test.mjs (governança) → 347/347 passando”. | DOC-C02-017 (DEFINITION OF DONE): “Abrir /admin → criar artigo → […] → publicar, sem editar código.” | DOC-C07-002 (GP-10, decisão de produto): “DONE deve ser uma transição verificável, não uma sensação de conclusão.” | DOC-C10-010/018/026: “Concluído quando: A peça está publicada ou programada, com materiais, chamada, destino e evidência registrados.”</t>
        </is>
      </c>
      <c r="J643" s="17" t="n"/>
      <c r="K643" s="17" t="inlineStr">
        <is>
          <t>alta</t>
        </is>
      </c>
      <c r="L643" s="17" t="inlineStr">
        <is>
          <t>preenchido</t>
        </is>
      </c>
    </row>
    <row r="644">
      <c r="A644" s="17" t="inlineStr">
        <is>
          <t>EV-5db78f5a7e</t>
        </is>
      </c>
      <c r="B644" s="17" t="inlineStr">
        <is>
          <t>formulario</t>
        </is>
      </c>
      <c r="C644" s="17" t="inlineStr">
        <is>
          <t>dia1-2</t>
        </is>
      </c>
      <c r="D644" s="17" t="inlineStr">
        <is>
          <t>2.6 Critérios de aceite</t>
        </is>
      </c>
      <c r="E644" s="17" t="n"/>
      <c r="F644" s="17" t="inlineStr">
        <is>
          <t>PRODUTO</t>
        </is>
      </c>
      <c r="G644" s="17" t="inlineStr">
        <is>
          <t>TRANSVERSAL</t>
        </is>
      </c>
      <c r="H644" s="17" t="inlineStr">
        <is>
          <t>DOC-C08-007</t>
        </is>
      </c>
      <c r="I644" s="18" t="inlineStr">
        <is>
          <t>DOC-C06-001: “Definition of Done editorial: texto aprovado + assets presentes + CTA funcional + brinde funcional + CMS carregado + SEO preenchido + links testados + publicação/agendamento confirmado + evidência registrada.” | DOC-C08-007: lista literal dos dez critérios de congelamento de 05/09. | DOC-C04-002: “bun run --filter=app test (vitest) → 51/51 passando”; “node --test tests/ondas/*.test.mjs (governança) → 347/347 passando”. | DOC-C02-017 (DEFINITION OF DONE): “Abrir /admin → criar artigo → […] → publicar, sem editar código.” | DOC-C07-002 (GP-10, decisão de produto): “DONE deve ser uma transição verificável, não uma sensação de conclusão.” | DOC-C10-010/018/026: “Concluído quando: A peça está publicada ou programada, com materiais, chamada, destino e evidência registrados.”</t>
        </is>
      </c>
      <c r="J644" s="17" t="n"/>
      <c r="K644" s="17" t="inlineStr">
        <is>
          <t>alta</t>
        </is>
      </c>
      <c r="L644" s="17" t="inlineStr">
        <is>
          <t>preenchido</t>
        </is>
      </c>
    </row>
    <row r="645">
      <c r="A645" s="17" t="inlineStr">
        <is>
          <t>EV-e510ba9d9e</t>
        </is>
      </c>
      <c r="B645" s="17" t="inlineStr">
        <is>
          <t>formulario</t>
        </is>
      </c>
      <c r="C645" s="17" t="inlineStr">
        <is>
          <t>dia1-2</t>
        </is>
      </c>
      <c r="D645" s="17" t="inlineStr">
        <is>
          <t>2.6 Critérios de aceite</t>
        </is>
      </c>
      <c r="E645" s="17" t="n"/>
      <c r="F645" s="17" t="inlineStr">
        <is>
          <t>PRODUTO</t>
        </is>
      </c>
      <c r="G645" s="17" t="inlineStr">
        <is>
          <t>TRANSVERSAL</t>
        </is>
      </c>
      <c r="H645" s="17" t="inlineStr">
        <is>
          <t>DOC-C04-002</t>
        </is>
      </c>
      <c r="I645" s="18" t="inlineStr">
        <is>
          <t>DOC-C06-001: “Definition of Done editorial: texto aprovado + assets presentes + CTA funcional + brinde funcional + CMS carregado + SEO preenchido + links testados + publicação/agendamento confirmado + evidência registrada.” | DOC-C08-007: lista literal dos dez critérios de congelamento de 05/09. | DOC-C04-002: “bun run --filter=app test (vitest) → 51/51 passando”; “node --test tests/ondas/*.test.mjs (governança) → 347/347 passando”. | DOC-C02-017 (DEFINITION OF DONE): “Abrir /admin → criar artigo → […] → publicar, sem editar código.” | DOC-C07-002 (GP-10, decisão de produto): “DONE deve ser uma transição verificável, não uma sensação de conclusão.” | DOC-C10-010/018/026: “Concluído quando: A peça está publicada ou programada, com materiais, chamada, destino e evidência registrados.”</t>
        </is>
      </c>
      <c r="J645" s="17" t="n"/>
      <c r="K645" s="17" t="inlineStr">
        <is>
          <t>alta</t>
        </is>
      </c>
      <c r="L645" s="17" t="inlineStr">
        <is>
          <t>preenchido</t>
        </is>
      </c>
    </row>
    <row r="646">
      <c r="A646" s="17" t="inlineStr">
        <is>
          <t>EV-3a92ed7b27</t>
        </is>
      </c>
      <c r="B646" s="17" t="inlineStr">
        <is>
          <t>formulario</t>
        </is>
      </c>
      <c r="C646" s="17" t="inlineStr">
        <is>
          <t>dia1-2</t>
        </is>
      </c>
      <c r="D646" s="17" t="inlineStr">
        <is>
          <t>2.6 Critérios de aceite</t>
        </is>
      </c>
      <c r="E646" s="17" t="n"/>
      <c r="F646" s="17" t="inlineStr">
        <is>
          <t>PRODUTO</t>
        </is>
      </c>
      <c r="G646" s="17" t="inlineStr">
        <is>
          <t>TRANSVERSAL</t>
        </is>
      </c>
      <c r="H646" s="17" t="inlineStr">
        <is>
          <t>DOC-C02-017</t>
        </is>
      </c>
      <c r="I646" s="18" t="inlineStr">
        <is>
          <t>DOC-C06-001: “Definition of Done editorial: texto aprovado + assets presentes + CTA funcional + brinde funcional + CMS carregado + SEO preenchido + links testados + publicação/agendamento confirmado + evidência registrada.” | DOC-C08-007: lista literal dos dez critérios de congelamento de 05/09. | DOC-C04-002: “bun run --filter=app test (vitest) → 51/51 passando”; “node --test tests/ondas/*.test.mjs (governança) → 347/347 passando”. | DOC-C02-017 (DEFINITION OF DONE): “Abrir /admin → criar artigo → […] → publicar, sem editar código.” | DOC-C07-002 (GP-10, decisão de produto): “DONE deve ser uma transição verificável, não uma sensação de conclusão.” | DOC-C10-010/018/026: “Concluído quando: A peça está publicada ou programada, com materiais, chamada, destino e evidência registrados.”</t>
        </is>
      </c>
      <c r="J646" s="17" t="n"/>
      <c r="K646" s="17" t="inlineStr">
        <is>
          <t>alta</t>
        </is>
      </c>
      <c r="L646" s="17" t="inlineStr">
        <is>
          <t>preenchido</t>
        </is>
      </c>
    </row>
    <row r="647">
      <c r="A647" s="17" t="inlineStr">
        <is>
          <t>EV-298ca3739a</t>
        </is>
      </c>
      <c r="B647" s="17" t="inlineStr">
        <is>
          <t>formulario</t>
        </is>
      </c>
      <c r="C647" s="17" t="inlineStr">
        <is>
          <t>dia1-2</t>
        </is>
      </c>
      <c r="D647" s="17" t="inlineStr">
        <is>
          <t>2.6 Critérios de aceite</t>
        </is>
      </c>
      <c r="E647" s="17" t="n"/>
      <c r="F647" s="17" t="inlineStr">
        <is>
          <t>PRODUTO</t>
        </is>
      </c>
      <c r="G647" s="17" t="inlineStr">
        <is>
          <t>TRANSVERSAL</t>
        </is>
      </c>
      <c r="H647" s="17" t="inlineStr">
        <is>
          <t>DOC-C02-014</t>
        </is>
      </c>
      <c r="I647" s="18" t="inlineStr">
        <is>
          <t>DOC-C06-001: “Definition of Done editorial: texto aprovado + assets presentes + CTA funcional + brinde funcional + CMS carregado + SEO preenchido + links testados + publicação/agendamento confirmado + evidência registrada.” | DOC-C08-007: lista literal dos dez critérios de congelamento de 05/09. | DOC-C04-002: “bun run --filter=app test (vitest) → 51/51 passando”; “node --test tests/ondas/*.test.mjs (governança) → 347/347 passando”. | DOC-C02-017 (DEFINITION OF DONE): “Abrir /admin → criar artigo → […] → publicar, sem editar código.” | DOC-C07-002 (GP-10, decisão de produto): “DONE deve ser uma transição verificável, não uma sensação de conclusão.” | DOC-C10-010/018/026: “Concluído quando: A peça está publicada ou programada, com materiais, chamada, destino e evidência registrados.”</t>
        </is>
      </c>
      <c r="J647" s="17" t="n"/>
      <c r="K647" s="17" t="inlineStr">
        <is>
          <t>alta</t>
        </is>
      </c>
      <c r="L647" s="17" t="inlineStr">
        <is>
          <t>preenchido</t>
        </is>
      </c>
    </row>
    <row r="648">
      <c r="A648" s="17" t="inlineStr">
        <is>
          <t>EV-af6a17531b</t>
        </is>
      </c>
      <c r="B648" s="17" t="inlineStr">
        <is>
          <t>formulario</t>
        </is>
      </c>
      <c r="C648" s="17" t="inlineStr">
        <is>
          <t>dia1-2</t>
        </is>
      </c>
      <c r="D648" s="17" t="inlineStr">
        <is>
          <t>2.6 Critérios de aceite</t>
        </is>
      </c>
      <c r="E648" s="17" t="n"/>
      <c r="F648" s="17" t="inlineStr">
        <is>
          <t>PRODUTO</t>
        </is>
      </c>
      <c r="G648" s="17" t="inlineStr">
        <is>
          <t>TRANSVERSAL</t>
        </is>
      </c>
      <c r="H648" s="17" t="inlineStr">
        <is>
          <t>DOC-C07-002</t>
        </is>
      </c>
      <c r="I648" s="18" t="inlineStr">
        <is>
          <t>DOC-C06-001: “Definition of Done editorial: texto aprovado + assets presentes + CTA funcional + brinde funcional + CMS carregado + SEO preenchido + links testados + publicação/agendamento confirmado + evidência registrada.” | DOC-C08-007: lista literal dos dez critérios de congelamento de 05/09. | DOC-C04-002: “bun run --filter=app test (vitest) → 51/51 passando”; “node --test tests/ondas/*.test.mjs (governança) → 347/347 passando”. | DOC-C02-017 (DEFINITION OF DONE): “Abrir /admin → criar artigo → […] → publicar, sem editar código.” | DOC-C07-002 (GP-10, decisão de produto): “DONE deve ser uma transição verificável, não uma sensação de conclusão.” | DOC-C10-010/018/026: “Concluído quando: A peça está publicada ou programada, com materiais, chamada, destino e evidência registrados.”</t>
        </is>
      </c>
      <c r="J648" s="17" t="n"/>
      <c r="K648" s="17" t="inlineStr">
        <is>
          <t>alta</t>
        </is>
      </c>
      <c r="L648" s="17" t="inlineStr">
        <is>
          <t>preenchido</t>
        </is>
      </c>
    </row>
    <row r="649">
      <c r="A649" s="17" t="inlineStr">
        <is>
          <t>EV-ce0961acc6</t>
        </is>
      </c>
      <c r="B649" s="17" t="inlineStr">
        <is>
          <t>formulario</t>
        </is>
      </c>
      <c r="C649" s="17" t="inlineStr">
        <is>
          <t>dia1-2</t>
        </is>
      </c>
      <c r="D649" s="17" t="inlineStr">
        <is>
          <t>2.6 Critérios de aceite</t>
        </is>
      </c>
      <c r="E649" s="17" t="n"/>
      <c r="F649" s="17" t="inlineStr">
        <is>
          <t>PRODUTO</t>
        </is>
      </c>
      <c r="G649" s="17" t="inlineStr">
        <is>
          <t>TRANSVERSAL</t>
        </is>
      </c>
      <c r="H649" s="17" t="inlineStr">
        <is>
          <t>DOC-C10-010</t>
        </is>
      </c>
      <c r="I649" s="18" t="inlineStr">
        <is>
          <t>DOC-C06-001: “Definition of Done editorial: texto aprovado + assets presentes + CTA funcional + brinde funcional + CMS carregado + SEO preenchido + links testados + publicação/agendamento confirmado + evidência registrada.” | DOC-C08-007: lista literal dos dez critérios de congelamento de 05/09. | DOC-C04-002: “bun run --filter=app test (vitest) → 51/51 passando”; “node --test tests/ondas/*.test.mjs (governança) → 347/347 passando”. | DOC-C02-017 (DEFINITION OF DONE): “Abrir /admin → criar artigo → […] → publicar, sem editar código.” | DOC-C07-002 (GP-10, decisão de produto): “DONE deve ser uma transição verificável, não uma sensação de conclusão.” | DOC-C10-010/018/026: “Concluído quando: A peça está publicada ou programada, com materiais, chamada, destino e evidência registrados.”</t>
        </is>
      </c>
      <c r="J649" s="17" t="n"/>
      <c r="K649" s="17" t="inlineStr">
        <is>
          <t>alta</t>
        </is>
      </c>
      <c r="L649" s="17" t="inlineStr">
        <is>
          <t>preenchido</t>
        </is>
      </c>
    </row>
    <row r="650">
      <c r="A650" s="17" t="inlineStr">
        <is>
          <t>EV-062c444fbe</t>
        </is>
      </c>
      <c r="B650" s="17" t="inlineStr">
        <is>
          <t>formulario</t>
        </is>
      </c>
      <c r="C650" s="17" t="inlineStr">
        <is>
          <t>dia1-2</t>
        </is>
      </c>
      <c r="D650" s="17" t="inlineStr">
        <is>
          <t>2.6 Critérios de aceite</t>
        </is>
      </c>
      <c r="E650" s="17" t="n"/>
      <c r="F650" s="17" t="inlineStr">
        <is>
          <t>PRODUTO</t>
        </is>
      </c>
      <c r="G650" s="17" t="inlineStr">
        <is>
          <t>TRANSVERSAL</t>
        </is>
      </c>
      <c r="H650" s="17" t="inlineStr">
        <is>
          <t>DOC-C10-018</t>
        </is>
      </c>
      <c r="I650" s="18" t="inlineStr">
        <is>
          <t>DOC-C06-001: “Definition of Done editorial: texto aprovado + assets presentes + CTA funcional + brinde funcional + CMS carregado + SEO preenchido + links testados + publicação/agendamento confirmado + evidência registrada.” | DOC-C08-007: lista literal dos dez critérios de congelamento de 05/09. | DOC-C04-002: “bun run --filter=app test (vitest) → 51/51 passando”; “node --test tests/ondas/*.test.mjs (governança) → 347/347 passando”. | DOC-C02-017 (DEFINITION OF DONE): “Abrir /admin → criar artigo → […] → publicar, sem editar código.” | DOC-C07-002 (GP-10, decisão de produto): “DONE deve ser uma transição verificável, não uma sensação de conclusão.” | DOC-C10-010/018/026: “Concluído quando: A peça está publicada ou programada, com materiais, chamada, destino e evidência registrados.”</t>
        </is>
      </c>
      <c r="J650" s="17" t="n"/>
      <c r="K650" s="17" t="inlineStr">
        <is>
          <t>alta</t>
        </is>
      </c>
      <c r="L650" s="17" t="inlineStr">
        <is>
          <t>preenchido</t>
        </is>
      </c>
    </row>
    <row r="651">
      <c r="A651" s="17" t="inlineStr">
        <is>
          <t>EV-adc544ff6f</t>
        </is>
      </c>
      <c r="B651" s="17" t="inlineStr">
        <is>
          <t>formulario</t>
        </is>
      </c>
      <c r="C651" s="17" t="inlineStr">
        <is>
          <t>dia1-2</t>
        </is>
      </c>
      <c r="D651" s="17" t="inlineStr">
        <is>
          <t>2.6 Critérios de aceite</t>
        </is>
      </c>
      <c r="E651" s="17" t="n"/>
      <c r="F651" s="17" t="inlineStr">
        <is>
          <t>PRODUTO</t>
        </is>
      </c>
      <c r="G651" s="17" t="inlineStr">
        <is>
          <t>TRANSVERSAL</t>
        </is>
      </c>
      <c r="H651" s="17" t="inlineStr">
        <is>
          <t>DOC-C10-026</t>
        </is>
      </c>
      <c r="I651" s="18" t="inlineStr">
        <is>
          <t>DOC-C06-001: “Definition of Done editorial: texto aprovado + assets presentes + CTA funcional + brinde funcional + CMS carregado + SEO preenchido + links testados + publicação/agendamento confirmado + evidência registrada.” | DOC-C08-007: lista literal dos dez critérios de congelamento de 05/09. | DOC-C04-002: “bun run --filter=app test (vitest) → 51/51 passando”; “node --test tests/ondas/*.test.mjs (governança) → 347/347 passando”. | DOC-C02-017 (DEFINITION OF DONE): “Abrir /admin → criar artigo → […] → publicar, sem editar código.” | DOC-C07-002 (GP-10, decisão de produto): “DONE deve ser uma transição verificável, não uma sensação de conclusão.” | DOC-C10-010/018/026: “Concluído quando: A peça está publicada ou programada, com materiais, chamada, destino e evidência registrados.”</t>
        </is>
      </c>
      <c r="J651" s="17" t="n"/>
      <c r="K651" s="17" t="inlineStr">
        <is>
          <t>alta</t>
        </is>
      </c>
      <c r="L651" s="17" t="inlineStr">
        <is>
          <t>preenchido</t>
        </is>
      </c>
    </row>
    <row r="652">
      <c r="A652" s="17" t="inlineStr">
        <is>
          <t>EV-51ad725a1b</t>
        </is>
      </c>
      <c r="B652" s="17" t="inlineStr">
        <is>
          <t>formulario</t>
        </is>
      </c>
      <c r="C652" s="17" t="inlineStr">
        <is>
          <t>dia1-2</t>
        </is>
      </c>
      <c r="D652" s="17" t="inlineStr">
        <is>
          <t>2.7 Persona principal</t>
        </is>
      </c>
      <c r="E652" s="17" t="n"/>
      <c r="F652" s="17" t="inlineStr">
        <is>
          <t>PRODUTO</t>
        </is>
      </c>
      <c r="G652" s="17" t="inlineStr">
        <is>
          <t>ECO-01 (com persona própria em ECO-07)</t>
        </is>
      </c>
      <c r="H652" s="17" t="inlineStr">
        <is>
          <t>DOC-C05-001</t>
        </is>
      </c>
      <c r="I652" s="18" t="inlineStr">
        <is>
          <t>DOC-C05-001 (Corpo, linha Público): texto integral da versão A, com a perspectiva do usuário “Quero começar o dia, semana, mês de trabalho executando as tarefas sem, ao mesmo tempo, me preocupar com a ordem e controle da progressão.” | DOC-C07-009 (ICP comercial a testar): texto integral da versão B, com “Decisão ICP-01: testar comportamento e problema primeiro; diagnóstico não define o ICP comercial inicial.” | DOC-C12-003: dez perguntas do formulário de entrada do Estúdio, que operacionalizam o perfil (como trabalha hoje, principal atrito, ferramentas atuais, dificuldade de retomada, relação com papel/físico).</t>
        </is>
      </c>
      <c r="J652" s="17" t="n"/>
      <c r="K652" s="17" t="inlineStr">
        <is>
          <t>media</t>
        </is>
      </c>
      <c r="L652" s="17" t="inlineStr">
        <is>
          <t>parcial</t>
        </is>
      </c>
    </row>
    <row r="653">
      <c r="A653" s="17" t="inlineStr">
        <is>
          <t>EV-adb04f6154</t>
        </is>
      </c>
      <c r="B653" s="17" t="inlineStr">
        <is>
          <t>formulario</t>
        </is>
      </c>
      <c r="C653" s="17" t="inlineStr">
        <is>
          <t>dia1-2</t>
        </is>
      </c>
      <c r="D653" s="17" t="inlineStr">
        <is>
          <t>2.7 Persona principal</t>
        </is>
      </c>
      <c r="E653" s="17" t="n"/>
      <c r="F653" s="17" t="inlineStr">
        <is>
          <t>PRODUTO</t>
        </is>
      </c>
      <c r="G653" s="17" t="inlineStr">
        <is>
          <t>ECO-01 (com persona própria em ECO-07)</t>
        </is>
      </c>
      <c r="H653" s="17" t="inlineStr">
        <is>
          <t>DOC-C07-009</t>
        </is>
      </c>
      <c r="I653" s="18" t="inlineStr">
        <is>
          <t>DOC-C05-001 (Corpo, linha Público): texto integral da versão A, com a perspectiva do usuário “Quero começar o dia, semana, mês de trabalho executando as tarefas sem, ao mesmo tempo, me preocupar com a ordem e controle da progressão.” | DOC-C07-009 (ICP comercial a testar): texto integral da versão B, com “Decisão ICP-01: testar comportamento e problema primeiro; diagnóstico não define o ICP comercial inicial.” | DOC-C12-003: dez perguntas do formulário de entrada do Estúdio, que operacionalizam o perfil (como trabalha hoje, principal atrito, ferramentas atuais, dificuldade de retomada, relação com papel/físico).</t>
        </is>
      </c>
      <c r="J653" s="17" t="n"/>
      <c r="K653" s="17" t="inlineStr">
        <is>
          <t>media</t>
        </is>
      </c>
      <c r="L653" s="17" t="inlineStr">
        <is>
          <t>parcial</t>
        </is>
      </c>
    </row>
    <row r="654">
      <c r="A654" s="17" t="inlineStr">
        <is>
          <t>EV-29c0b78433</t>
        </is>
      </c>
      <c r="B654" s="17" t="inlineStr">
        <is>
          <t>formulario</t>
        </is>
      </c>
      <c r="C654" s="17" t="inlineStr">
        <is>
          <t>dia1-2</t>
        </is>
      </c>
      <c r="D654" s="17" t="inlineStr">
        <is>
          <t>2.7 Persona principal</t>
        </is>
      </c>
      <c r="E654" s="17" t="n"/>
      <c r="F654" s="17" t="inlineStr">
        <is>
          <t>PRODUTO</t>
        </is>
      </c>
      <c r="G654" s="17" t="inlineStr">
        <is>
          <t>ECO-01 (com persona própria em ECO-07)</t>
        </is>
      </c>
      <c r="H654" s="17" t="inlineStr">
        <is>
          <t>DOC-C12-003</t>
        </is>
      </c>
      <c r="I654" s="18" t="inlineStr">
        <is>
          <t>DOC-C05-001 (Corpo, linha Público): texto integral da versão A, com a perspectiva do usuário “Quero começar o dia, semana, mês de trabalho executando as tarefas sem, ao mesmo tempo, me preocupar com a ordem e controle da progressão.” | DOC-C07-009 (ICP comercial a testar): texto integral da versão B, com “Decisão ICP-01: testar comportamento e problema primeiro; diagnóstico não define o ICP comercial inicial.” | DOC-C12-003: dez perguntas do formulário de entrada do Estúdio, que operacionalizam o perfil (como trabalha hoje, principal atrito, ferramentas atuais, dificuldade de retomada, relação com papel/físico).</t>
        </is>
      </c>
      <c r="J654" s="17" t="n"/>
      <c r="K654" s="17" t="inlineStr">
        <is>
          <t>media</t>
        </is>
      </c>
      <c r="L654" s="17" t="inlineStr">
        <is>
          <t>parcial</t>
        </is>
      </c>
    </row>
    <row r="655">
      <c r="A655" s="17" t="inlineStr">
        <is>
          <t>EV-8a6eee4b54</t>
        </is>
      </c>
      <c r="B655" s="17" t="inlineStr">
        <is>
          <t>formulario</t>
        </is>
      </c>
      <c r="C655" s="17" t="inlineStr">
        <is>
          <t>dia1-2</t>
        </is>
      </c>
      <c r="D655" s="17" t="inlineStr">
        <is>
          <t>2.8 Jornada — Descoberta</t>
        </is>
      </c>
      <c r="E655" s="17" t="n"/>
      <c r="F655" s="17" t="inlineStr">
        <is>
          <t>PRODUTO</t>
        </is>
      </c>
      <c r="G655" s="18" t="inlineStr">
        <is>
          <t>ECO-02 e ECO-07 documentadas; ECO-01 sem jornada de descoberta própria</t>
        </is>
      </c>
      <c r="H655" s="17" t="inlineStr">
        <is>
          <t>DOC-C05-001</t>
        </is>
      </c>
      <c r="I655" s="18" t="inlineStr">
        <is>
          <t>DOC-C05-001 (CTA por nível de consciência): “Baixa | não empurre Produto | CTA ideal Entenda o que está acontecendo”; “Alta intenção | não empurre Mais teoria | CTA Experimentar Executar / conhecer Studio.” | DOC-C05-001 (Showroom — regra geral): “Problema → entrada real → transformação → resultado → prova → CTA. Não faça vídeos ‘Veja meu agente incrível’.” | DOC-C02-043: “CTA inicial: ler, explorar, assinar e baixar o Mapa de Risco Cognitivo; o EXECUTAR fica para uma campanha posterior.” | DOC-C10-029: “asset → capa → landing → formulário → confirmação → entrega/download → CTA → tracking → evidence” (cadeia do brinde).</t>
        </is>
      </c>
      <c r="J655" s="17" t="n"/>
      <c r="K655" s="17" t="inlineStr">
        <is>
          <t>media</t>
        </is>
      </c>
      <c r="L655" s="17" t="inlineStr">
        <is>
          <t>parcial</t>
        </is>
      </c>
    </row>
    <row r="656">
      <c r="A656" s="17" t="inlineStr">
        <is>
          <t>EV-49581e8390</t>
        </is>
      </c>
      <c r="B656" s="17" t="inlineStr">
        <is>
          <t>formulario</t>
        </is>
      </c>
      <c r="C656" s="17" t="inlineStr">
        <is>
          <t>dia1-2</t>
        </is>
      </c>
      <c r="D656" s="17" t="inlineStr">
        <is>
          <t>2.8 Jornada — Descoberta</t>
        </is>
      </c>
      <c r="E656" s="17" t="n"/>
      <c r="F656" s="17" t="inlineStr">
        <is>
          <t>PRODUTO</t>
        </is>
      </c>
      <c r="G656" s="18" t="inlineStr">
        <is>
          <t>ECO-02 e ECO-07 documentadas; ECO-01 sem jornada de descoberta própria</t>
        </is>
      </c>
      <c r="H656" s="17" t="inlineStr">
        <is>
          <t>DOC-C02-043</t>
        </is>
      </c>
      <c r="I656" s="18" t="inlineStr">
        <is>
          <t>DOC-C05-001 (CTA por nível de consciência): “Baixa | não empurre Produto | CTA ideal Entenda o que está acontecendo”; “Alta intenção | não empurre Mais teoria | CTA Experimentar Executar / conhecer Studio.” | DOC-C05-001 (Showroom — regra geral): “Problema → entrada real → transformação → resultado → prova → CTA. Não faça vídeos ‘Veja meu agente incrível’.” | DOC-C02-043: “CTA inicial: ler, explorar, assinar e baixar o Mapa de Risco Cognitivo; o EXECUTAR fica para uma campanha posterior.” | DOC-C10-029: “asset → capa → landing → formulário → confirmação → entrega/download → CTA → tracking → evidence” (cadeia do brinde).</t>
        </is>
      </c>
      <c r="J656" s="17" t="n"/>
      <c r="K656" s="17" t="inlineStr">
        <is>
          <t>media</t>
        </is>
      </c>
      <c r="L656" s="17" t="inlineStr">
        <is>
          <t>parcial</t>
        </is>
      </c>
    </row>
    <row r="657">
      <c r="A657" s="17" t="inlineStr">
        <is>
          <t>EV-7f3fee2188</t>
        </is>
      </c>
      <c r="B657" s="17" t="inlineStr">
        <is>
          <t>formulario</t>
        </is>
      </c>
      <c r="C657" s="17" t="inlineStr">
        <is>
          <t>dia1-2</t>
        </is>
      </c>
      <c r="D657" s="17" t="inlineStr">
        <is>
          <t>2.8 Jornada — Descoberta</t>
        </is>
      </c>
      <c r="E657" s="17" t="n"/>
      <c r="F657" s="17" t="inlineStr">
        <is>
          <t>PRODUTO</t>
        </is>
      </c>
      <c r="G657" s="18" t="inlineStr">
        <is>
          <t>ECO-02 e ECO-07 documentadas; ECO-01 sem jornada de descoberta própria</t>
        </is>
      </c>
      <c r="H657" s="17" t="inlineStr">
        <is>
          <t>DOC-C06-001</t>
        </is>
      </c>
      <c r="I657" s="18" t="inlineStr">
        <is>
          <t>DOC-C05-001 (CTA por nível de consciência): “Baixa | não empurre Produto | CTA ideal Entenda o que está acontecendo”; “Alta intenção | não empurre Mais teoria | CTA Experimentar Executar / conhecer Studio.” | DOC-C05-001 (Showroom — regra geral): “Problema → entrada real → transformação → resultado → prova → CTA. Não faça vídeos ‘Veja meu agente incrível’.” | DOC-C02-043: “CTA inicial: ler, explorar, assinar e baixar o Mapa de Risco Cognitivo; o EXECUTAR fica para uma campanha posterior.” | DOC-C10-029: “asset → capa → landing → formulário → confirmação → entrega/download → CTA → tracking → evidence” (cadeia do brinde).</t>
        </is>
      </c>
      <c r="J657" s="17" t="n"/>
      <c r="K657" s="17" t="inlineStr">
        <is>
          <t>media</t>
        </is>
      </c>
      <c r="L657" s="17" t="inlineStr">
        <is>
          <t>parcial</t>
        </is>
      </c>
    </row>
    <row r="658">
      <c r="A658" s="17" t="inlineStr">
        <is>
          <t>EV-53b4f2da20</t>
        </is>
      </c>
      <c r="B658" s="17" t="inlineStr">
        <is>
          <t>formulario</t>
        </is>
      </c>
      <c r="C658" s="17" t="inlineStr">
        <is>
          <t>dia1-2</t>
        </is>
      </c>
      <c r="D658" s="17" t="inlineStr">
        <is>
          <t>2.8 Jornada — Descoberta</t>
        </is>
      </c>
      <c r="E658" s="17" t="n"/>
      <c r="F658" s="17" t="inlineStr">
        <is>
          <t>PRODUTO</t>
        </is>
      </c>
      <c r="G658" s="18" t="inlineStr">
        <is>
          <t>ECO-02 e ECO-07 documentadas; ECO-01 sem jornada de descoberta própria</t>
        </is>
      </c>
      <c r="H658" s="17" t="inlineStr">
        <is>
          <t>DOC-C10-029</t>
        </is>
      </c>
      <c r="I658" s="18" t="inlineStr">
        <is>
          <t>DOC-C05-001 (CTA por nível de consciência): “Baixa | não empurre Produto | CTA ideal Entenda o que está acontecendo”; “Alta intenção | não empurre Mais teoria | CTA Experimentar Executar / conhecer Studio.” | DOC-C05-001 (Showroom — regra geral): “Problema → entrada real → transformação → resultado → prova → CTA. Não faça vídeos ‘Veja meu agente incrível’.” | DOC-C02-043: “CTA inicial: ler, explorar, assinar e baixar o Mapa de Risco Cognitivo; o EXECUTAR fica para uma campanha posterior.” | DOC-C10-029: “asset → capa → landing → formulário → confirmação → entrega/download → CTA → tracking → evidence” (cadeia do brinde).</t>
        </is>
      </c>
      <c r="J658" s="17" t="n"/>
      <c r="K658" s="17" t="inlineStr">
        <is>
          <t>media</t>
        </is>
      </c>
      <c r="L658" s="17" t="inlineStr">
        <is>
          <t>parcial</t>
        </is>
      </c>
    </row>
    <row r="659">
      <c r="A659" s="17" t="inlineStr">
        <is>
          <t>EV-987e669bd8</t>
        </is>
      </c>
      <c r="B659" s="17" t="inlineStr">
        <is>
          <t>formulario</t>
        </is>
      </c>
      <c r="C659" s="17" t="inlineStr">
        <is>
          <t>dia1-2</t>
        </is>
      </c>
      <c r="D659" s="17" t="inlineStr">
        <is>
          <t>2.8 Jornada — Descoberta</t>
        </is>
      </c>
      <c r="E659" s="17" t="n"/>
      <c r="F659" s="17" t="inlineStr">
        <is>
          <t>PRODUTO</t>
        </is>
      </c>
      <c r="G659" s="18" t="inlineStr">
        <is>
          <t>ECO-02 e ECO-07 documentadas; ECO-01 sem jornada de descoberta própria</t>
        </is>
      </c>
      <c r="H659" s="17" t="inlineStr">
        <is>
          <t>DOC-C11-010</t>
        </is>
      </c>
      <c r="I659" s="18" t="inlineStr">
        <is>
          <t>DOC-C05-001 (CTA por nível de consciência): “Baixa | não empurre Produto | CTA ideal Entenda o que está acontecendo”; “Alta intenção | não empurre Mais teoria | CTA Experimentar Executar / conhecer Studio.” | DOC-C05-001 (Showroom — regra geral): “Problema → entrada real → transformação → resultado → prova → CTA. Não faça vídeos ‘Veja meu agente incrível’.” | DOC-C02-043: “CTA inicial: ler, explorar, assinar e baixar o Mapa de Risco Cognitivo; o EXECUTAR fica para uma campanha posterior.” | DOC-C10-029: “asset → capa → landing → formulário → confirmação → entrega/download → CTA → tracking → evidence” (cadeia do brinde).</t>
        </is>
      </c>
      <c r="J659" s="17" t="n"/>
      <c r="K659" s="17" t="inlineStr">
        <is>
          <t>media</t>
        </is>
      </c>
      <c r="L659" s="17" t="inlineStr">
        <is>
          <t>parcial</t>
        </is>
      </c>
    </row>
    <row r="660">
      <c r="A660" s="17" t="inlineStr">
        <is>
          <t>EV-d63f04a27f</t>
        </is>
      </c>
      <c r="B660" s="17" t="inlineStr">
        <is>
          <t>formulario</t>
        </is>
      </c>
      <c r="C660" s="17" t="inlineStr">
        <is>
          <t>dia1-2</t>
        </is>
      </c>
      <c r="D660" s="17" t="inlineStr">
        <is>
          <t>2.8 Jornada — Descoberta</t>
        </is>
      </c>
      <c r="E660" s="17" t="n"/>
      <c r="F660" s="17" t="inlineStr">
        <is>
          <t>PRODUTO</t>
        </is>
      </c>
      <c r="G660" s="18" t="inlineStr">
        <is>
          <t>ECO-02 e ECO-07 documentadas; ECO-01 sem jornada de descoberta própria</t>
        </is>
      </c>
      <c r="H660" s="17" t="inlineStr">
        <is>
          <t>DOC-C12-004</t>
        </is>
      </c>
      <c r="I660" s="18" t="inlineStr">
        <is>
          <t>DOC-C05-001 (CTA por nível de consciência): “Baixa | não empurre Produto | CTA ideal Entenda o que está acontecendo”; “Alta intenção | não empurre Mais teoria | CTA Experimentar Executar / conhecer Studio.” | DOC-C05-001 (Showroom — regra geral): “Problema → entrada real → transformação → resultado → prova → CTA. Não faça vídeos ‘Veja meu agente incrível’.” | DOC-C02-043: “CTA inicial: ler, explorar, assinar e baixar o Mapa de Risco Cognitivo; o EXECUTAR fica para uma campanha posterior.” | DOC-C10-029: “asset → capa → landing → formulário → confirmação → entrega/download → CTA → tracking → evidence” (cadeia do brinde).</t>
        </is>
      </c>
      <c r="J660" s="17" t="n"/>
      <c r="K660" s="17" t="inlineStr">
        <is>
          <t>media</t>
        </is>
      </c>
      <c r="L660" s="17" t="inlineStr">
        <is>
          <t>parcial</t>
        </is>
      </c>
    </row>
    <row r="661">
      <c r="A661" s="17" t="inlineStr">
        <is>
          <t>EV-45f55c1c8c</t>
        </is>
      </c>
      <c r="B661" s="17" t="inlineStr">
        <is>
          <t>formulario</t>
        </is>
      </c>
      <c r="C661" s="17" t="inlineStr">
        <is>
          <t>dia1-2</t>
        </is>
      </c>
      <c r="D661" s="17" t="inlineStr">
        <is>
          <t>2.9 Jornada — Ativação</t>
        </is>
      </c>
      <c r="E661" s="17" t="n"/>
      <c r="F661" s="17" t="inlineStr">
        <is>
          <t>PRODUTO</t>
        </is>
      </c>
      <c r="G661" s="17" t="inlineStr">
        <is>
          <t>ECO-01 (com jornada de ativação própria em ECO-07)</t>
        </is>
      </c>
      <c r="H661" s="17" t="inlineStr">
        <is>
          <t>DOC-C07-009</t>
        </is>
      </c>
      <c r="I661" s="18" t="inlineStr">
        <is>
          <t>DOC-C07-009 (telemetry): “value_event_01: Projeto real → contexto interpretado → próxima ação válida → ação executada → conclusão/evidência registrada”; required_events incluem “activated_at” e “first_value_at”. | DOC-C07-009 (PROD-12): “Nos primeiros segundos, mostrar estado atual, resultado necessário e próxima ação — não o projeto inteiro.” | DOC-C04-002: “App é local-first: EstadoOperacional hidrata de localStorage via chaveOrganizacao + restaurarEstado, sincroniza com servidor só opcionalmente.” | DOC-C05-001 (Jornada canônica do Studio): “D0 Formulário de 5 minutos… D6 Versão final — Entrega + onboarding.”</t>
        </is>
      </c>
      <c r="J661" s="17" t="n"/>
      <c r="K661" s="17" t="inlineStr">
        <is>
          <t>media</t>
        </is>
      </c>
      <c r="L661" s="17" t="inlineStr">
        <is>
          <t>preenchido</t>
        </is>
      </c>
    </row>
    <row r="662">
      <c r="A662" s="17" t="inlineStr">
        <is>
          <t>EV-5af3c091e5</t>
        </is>
      </c>
      <c r="B662" s="17" t="inlineStr">
        <is>
          <t>formulario</t>
        </is>
      </c>
      <c r="C662" s="17" t="inlineStr">
        <is>
          <t>dia1-2</t>
        </is>
      </c>
      <c r="D662" s="17" t="inlineStr">
        <is>
          <t>2.9 Jornada — Ativação</t>
        </is>
      </c>
      <c r="E662" s="17" t="n"/>
      <c r="F662" s="17" t="inlineStr">
        <is>
          <t>PRODUTO</t>
        </is>
      </c>
      <c r="G662" s="17" t="inlineStr">
        <is>
          <t>ECO-01 (com jornada de ativação própria em ECO-07)</t>
        </is>
      </c>
      <c r="H662" s="17" t="inlineStr">
        <is>
          <t>DOC-C04-002</t>
        </is>
      </c>
      <c r="I662" s="18" t="inlineStr">
        <is>
          <t>DOC-C07-009 (telemetry): “value_event_01: Projeto real → contexto interpretado → próxima ação válida → ação executada → conclusão/evidência registrada”; required_events incluem “activated_at” e “first_value_at”. | DOC-C07-009 (PROD-12): “Nos primeiros segundos, mostrar estado atual, resultado necessário e próxima ação — não o projeto inteiro.” | DOC-C04-002: “App é local-first: EstadoOperacional hidrata de localStorage via chaveOrganizacao + restaurarEstado, sincroniza com servidor só opcionalmente.” | DOC-C05-001 (Jornada canônica do Studio): “D0 Formulário de 5 minutos… D6 Versão final — Entrega + onboarding.”</t>
        </is>
      </c>
      <c r="J662" s="17" t="n"/>
      <c r="K662" s="17" t="inlineStr">
        <is>
          <t>media</t>
        </is>
      </c>
      <c r="L662" s="17" t="inlineStr">
        <is>
          <t>preenchido</t>
        </is>
      </c>
    </row>
    <row r="663">
      <c r="A663" s="17" t="inlineStr">
        <is>
          <t>EV-833c065a27</t>
        </is>
      </c>
      <c r="B663" s="17" t="inlineStr">
        <is>
          <t>formulario</t>
        </is>
      </c>
      <c r="C663" s="17" t="inlineStr">
        <is>
          <t>dia1-2</t>
        </is>
      </c>
      <c r="D663" s="17" t="inlineStr">
        <is>
          <t>2.9 Jornada — Ativação</t>
        </is>
      </c>
      <c r="E663" s="17" t="n"/>
      <c r="F663" s="17" t="inlineStr">
        <is>
          <t>PRODUTO</t>
        </is>
      </c>
      <c r="G663" s="17" t="inlineStr">
        <is>
          <t>ECO-01 (com jornada de ativação própria em ECO-07)</t>
        </is>
      </c>
      <c r="H663" s="17" t="inlineStr">
        <is>
          <t>DOC-C05-001</t>
        </is>
      </c>
      <c r="I663" s="18" t="inlineStr">
        <is>
          <t>DOC-C07-009 (telemetry): “value_event_01: Projeto real → contexto interpretado → próxima ação válida → ação executada → conclusão/evidência registrada”; required_events incluem “activated_at” e “first_value_at”. | DOC-C07-009 (PROD-12): “Nos primeiros segundos, mostrar estado atual, resultado necessário e próxima ação — não o projeto inteiro.” | DOC-C04-002: “App é local-first: EstadoOperacional hidrata de localStorage via chaveOrganizacao + restaurarEstado, sincroniza com servidor só opcionalmente.” | DOC-C05-001 (Jornada canônica do Studio): “D0 Formulário de 5 minutos… D6 Versão final — Entrega + onboarding.”</t>
        </is>
      </c>
      <c r="J663" s="17" t="n"/>
      <c r="K663" s="17" t="inlineStr">
        <is>
          <t>media</t>
        </is>
      </c>
      <c r="L663" s="17" t="inlineStr">
        <is>
          <t>preenchido</t>
        </is>
      </c>
    </row>
    <row r="664">
      <c r="A664" s="17" t="inlineStr">
        <is>
          <t>EV-69783f0132</t>
        </is>
      </c>
      <c r="B664" s="17" t="inlineStr">
        <is>
          <t>formulario</t>
        </is>
      </c>
      <c r="C664" s="17" t="inlineStr">
        <is>
          <t>dia1-2</t>
        </is>
      </c>
      <c r="D664" s="17" t="inlineStr">
        <is>
          <t>2.9 Jornada — Ativação</t>
        </is>
      </c>
      <c r="E664" s="17" t="n"/>
      <c r="F664" s="17" t="inlineStr">
        <is>
          <t>PRODUTO</t>
        </is>
      </c>
      <c r="G664" s="17" t="inlineStr">
        <is>
          <t>ECO-01 (com jornada de ativação própria em ECO-07)</t>
        </is>
      </c>
      <c r="H664" s="17" t="inlineStr">
        <is>
          <t>DOC-C11-004</t>
        </is>
      </c>
      <c r="I664" s="18" t="inlineStr">
        <is>
          <t>DOC-C07-009 (telemetry): “value_event_01: Projeto real → contexto interpretado → próxima ação válida → ação executada → conclusão/evidência registrada”; required_events incluem “activated_at” e “first_value_at”. | DOC-C07-009 (PROD-12): “Nos primeiros segundos, mostrar estado atual, resultado necessário e próxima ação — não o projeto inteiro.” | DOC-C04-002: “App é local-first: EstadoOperacional hidrata de localStorage via chaveOrganizacao + restaurarEstado, sincroniza com servidor só opcionalmente.” | DOC-C05-001 (Jornada canônica do Studio): “D0 Formulário de 5 minutos… D6 Versão final — Entrega + onboarding.”</t>
        </is>
      </c>
      <c r="J664" s="17" t="n"/>
      <c r="K664" s="17" t="inlineStr">
        <is>
          <t>media</t>
        </is>
      </c>
      <c r="L664" s="17" t="inlineStr">
        <is>
          <t>preenchido</t>
        </is>
      </c>
    </row>
    <row r="665">
      <c r="A665" s="17" t="inlineStr">
        <is>
          <t>EV-c6d245e168</t>
        </is>
      </c>
      <c r="B665" s="17" t="inlineStr">
        <is>
          <t>formulario</t>
        </is>
      </c>
      <c r="C665" s="17" t="inlineStr">
        <is>
          <t>dia1-2</t>
        </is>
      </c>
      <c r="D665" s="17" t="inlineStr">
        <is>
          <t>2.10 Jornada — Uso recorrente</t>
        </is>
      </c>
      <c r="E665" s="17" t="n"/>
      <c r="F665" s="17" t="inlineStr">
        <is>
          <t>PRODUTO</t>
        </is>
      </c>
      <c r="G665" s="17" t="inlineStr">
        <is>
          <t>ECO-01 (com recorrência contratual própria em ECO-07)</t>
        </is>
      </c>
      <c r="H665" s="17" t="inlineStr">
        <is>
          <t>DOC-C05-001</t>
        </is>
      </c>
      <c r="I665" s="18" t="inlineStr">
        <is>
          <t>DOC-C05-001 (Promessa principal): “Zero configuração, mínimo de personalização, uso mínimo do app — cerca de 1–2 vezes por semana — e externalização cognitiva”; (Diferencial 03): “a superioridade específica do analógico e a frequência ideal de ‘1–2 vezes por semana’ permanecem hipóteses de produto/design, não resultados empiricamente demonstrados nos documentos.” | DOC-C11-006 (Cena A): “/bomdia → reconstruir estado → mostrar trabalho atual.” | DOC-C07-009 (telemetry): “cohorts: W1, W2, W4, W8”; “execution_cycles_per_week”. | DOC-C11-008 (Mensagem): “O sistema pode sustentar o trabalho sem exigir permanência contínua na tela.”</t>
        </is>
      </c>
      <c r="J665" s="17" t="n"/>
      <c r="K665" s="17" t="inlineStr">
        <is>
          <t>media</t>
        </is>
      </c>
      <c r="L665" s="17" t="inlineStr">
        <is>
          <t>parcial</t>
        </is>
      </c>
    </row>
    <row r="666">
      <c r="A666" s="17" t="inlineStr">
        <is>
          <t>EV-47e5f62c5d</t>
        </is>
      </c>
      <c r="B666" s="17" t="inlineStr">
        <is>
          <t>formulario</t>
        </is>
      </c>
      <c r="C666" s="17" t="inlineStr">
        <is>
          <t>dia1-2</t>
        </is>
      </c>
      <c r="D666" s="17" t="inlineStr">
        <is>
          <t>2.10 Jornada — Uso recorrente</t>
        </is>
      </c>
      <c r="E666" s="17" t="n"/>
      <c r="F666" s="17" t="inlineStr">
        <is>
          <t>PRODUTO</t>
        </is>
      </c>
      <c r="G666" s="17" t="inlineStr">
        <is>
          <t>ECO-01 (com recorrência contratual própria em ECO-07)</t>
        </is>
      </c>
      <c r="H666" s="17" t="inlineStr">
        <is>
          <t>DOC-C07-009</t>
        </is>
      </c>
      <c r="I666" s="18" t="inlineStr">
        <is>
          <t>DOC-C05-001 (Promessa principal): “Zero configuração, mínimo de personalização, uso mínimo do app — cerca de 1–2 vezes por semana — e externalização cognitiva”; (Diferencial 03): “a superioridade específica do analógico e a frequência ideal de ‘1–2 vezes por semana’ permanecem hipóteses de produto/design, não resultados empiricamente demonstrados nos documentos.” | DOC-C11-006 (Cena A): “/bomdia → reconstruir estado → mostrar trabalho atual.” | DOC-C07-009 (telemetry): “cohorts: W1, W2, W4, W8”; “execution_cycles_per_week”. | DOC-C11-008 (Mensagem): “O sistema pode sustentar o trabalho sem exigir permanência contínua na tela.”</t>
        </is>
      </c>
      <c r="J666" s="17" t="n"/>
      <c r="K666" s="17" t="inlineStr">
        <is>
          <t>media</t>
        </is>
      </c>
      <c r="L666" s="17" t="inlineStr">
        <is>
          <t>parcial</t>
        </is>
      </c>
    </row>
    <row r="667">
      <c r="A667" s="17" t="inlineStr">
        <is>
          <t>EV-03ba0567a3</t>
        </is>
      </c>
      <c r="B667" s="17" t="inlineStr">
        <is>
          <t>formulario</t>
        </is>
      </c>
      <c r="C667" s="17" t="inlineStr">
        <is>
          <t>dia1-2</t>
        </is>
      </c>
      <c r="D667" s="17" t="inlineStr">
        <is>
          <t>2.10 Jornada — Uso recorrente</t>
        </is>
      </c>
      <c r="E667" s="17" t="n"/>
      <c r="F667" s="17" t="inlineStr">
        <is>
          <t>PRODUTO</t>
        </is>
      </c>
      <c r="G667" s="17" t="inlineStr">
        <is>
          <t>ECO-01 (com recorrência contratual própria em ECO-07)</t>
        </is>
      </c>
      <c r="H667" s="17" t="inlineStr">
        <is>
          <t>DOC-C11-006</t>
        </is>
      </c>
      <c r="I667" s="18" t="inlineStr">
        <is>
          <t>DOC-C05-001 (Promessa principal): “Zero configuração, mínimo de personalização, uso mínimo do app — cerca de 1–2 vezes por semana — e externalização cognitiva”; (Diferencial 03): “a superioridade específica do analógico e a frequência ideal de ‘1–2 vezes por semana’ permanecem hipóteses de produto/design, não resultados empiricamente demonstrados nos documentos.” | DOC-C11-006 (Cena A): “/bomdia → reconstruir estado → mostrar trabalho atual.” | DOC-C07-009 (telemetry): “cohorts: W1, W2, W4, W8”; “execution_cycles_per_week”. | DOC-C11-008 (Mensagem): “O sistema pode sustentar o trabalho sem exigir permanência contínua na tela.”</t>
        </is>
      </c>
      <c r="J667" s="17" t="n"/>
      <c r="K667" s="17" t="inlineStr">
        <is>
          <t>media</t>
        </is>
      </c>
      <c r="L667" s="17" t="inlineStr">
        <is>
          <t>parcial</t>
        </is>
      </c>
    </row>
    <row r="668">
      <c r="A668" s="17" t="inlineStr">
        <is>
          <t>EV-ab92d689e0</t>
        </is>
      </c>
      <c r="B668" s="17" t="inlineStr">
        <is>
          <t>formulario</t>
        </is>
      </c>
      <c r="C668" s="17" t="inlineStr">
        <is>
          <t>dia1-2</t>
        </is>
      </c>
      <c r="D668" s="17" t="inlineStr">
        <is>
          <t>2.10 Jornada — Uso recorrente</t>
        </is>
      </c>
      <c r="E668" s="17" t="n"/>
      <c r="F668" s="17" t="inlineStr">
        <is>
          <t>PRODUTO</t>
        </is>
      </c>
      <c r="G668" s="17" t="inlineStr">
        <is>
          <t>ECO-01 (com recorrência contratual própria em ECO-07)</t>
        </is>
      </c>
      <c r="H668" s="17" t="inlineStr">
        <is>
          <t>DOC-C11-008</t>
        </is>
      </c>
      <c r="I668" s="18" t="inlineStr">
        <is>
          <t>DOC-C05-001 (Promessa principal): “Zero configuração, mínimo de personalização, uso mínimo do app — cerca de 1–2 vezes por semana — e externalização cognitiva”; (Diferencial 03): “a superioridade específica do analógico e a frequência ideal de ‘1–2 vezes por semana’ permanecem hipóteses de produto/design, não resultados empiricamente demonstrados nos documentos.” | DOC-C11-006 (Cena A): “/bomdia → reconstruir estado → mostrar trabalho atual.” | DOC-C07-009 (telemetry): “cohorts: W1, W2, W4, W8”; “execution_cycles_per_week”. | DOC-C11-008 (Mensagem): “O sistema pode sustentar o trabalho sem exigir permanência contínua na tela.”</t>
        </is>
      </c>
      <c r="J668" s="17" t="n"/>
      <c r="K668" s="17" t="inlineStr">
        <is>
          <t>media</t>
        </is>
      </c>
      <c r="L668" s="17" t="inlineStr">
        <is>
          <t>parcial</t>
        </is>
      </c>
    </row>
    <row r="669">
      <c r="A669" s="17" t="inlineStr">
        <is>
          <t>EV-539fe1ba41</t>
        </is>
      </c>
      <c r="B669" s="17" t="inlineStr">
        <is>
          <t>formulario</t>
        </is>
      </c>
      <c r="C669" s="17" t="inlineStr">
        <is>
          <t>dia1-2</t>
        </is>
      </c>
      <c r="D669" s="17" t="inlineStr">
        <is>
          <t>2.11 Momento 'aha'</t>
        </is>
      </c>
      <c r="E669" s="17" t="n"/>
      <c r="F669" s="17" t="inlineStr">
        <is>
          <t>PRODUTO</t>
        </is>
      </c>
      <c r="G669" s="17" t="inlineStr">
        <is>
          <t>ECO-01</t>
        </is>
      </c>
      <c r="H669" s="17" t="inlineStr">
        <is>
          <t>DOC-C07-009</t>
        </is>
      </c>
      <c r="I669" s="18" t="inlineStr">
        <is>
          <t>DOC-C07-009 (telemetry.value_event_01): cadeia literal de cinco etapas. | DOC-C11-004 (Cena A): “‘Tenho 30 minutos.’ Mostrar o sistema reduzindo um projeto complexo à próxima ação possível”; (Cena B): “Alterar uma condição do dia e mostrar plano preservado + rota recalculada.” | DOC-C05-001 (Frase de posicionamento 01 e Mensagem 01): “Você não precisa reorganizar o projeto toda vez que o dia muda. O sistema recalcula a rota e mostra o próximo passo possível.” / “O plano continua. A rota se adapta. Você executa.”</t>
        </is>
      </c>
      <c r="J669" s="17" t="n"/>
      <c r="K669" s="17" t="inlineStr">
        <is>
          <t>media</t>
        </is>
      </c>
      <c r="L669" s="17" t="inlineStr">
        <is>
          <t>parcial</t>
        </is>
      </c>
    </row>
    <row r="670">
      <c r="A670" s="17" t="inlineStr">
        <is>
          <t>EV-074b79d436</t>
        </is>
      </c>
      <c r="B670" s="17" t="inlineStr">
        <is>
          <t>formulario</t>
        </is>
      </c>
      <c r="C670" s="17" t="inlineStr">
        <is>
          <t>dia1-2</t>
        </is>
      </c>
      <c r="D670" s="17" t="inlineStr">
        <is>
          <t>2.11 Momento 'aha'</t>
        </is>
      </c>
      <c r="E670" s="17" t="n"/>
      <c r="F670" s="17" t="inlineStr">
        <is>
          <t>PRODUTO</t>
        </is>
      </c>
      <c r="G670" s="17" t="inlineStr">
        <is>
          <t>ECO-01</t>
        </is>
      </c>
      <c r="H670" s="17" t="inlineStr">
        <is>
          <t>DOC-C11-004</t>
        </is>
      </c>
      <c r="I670" s="18" t="inlineStr">
        <is>
          <t>DOC-C07-009 (telemetry.value_event_01): cadeia literal de cinco etapas. | DOC-C11-004 (Cena A): “‘Tenho 30 minutos.’ Mostrar o sistema reduzindo um projeto complexo à próxima ação possível”; (Cena B): “Alterar uma condição do dia e mostrar plano preservado + rota recalculada.” | DOC-C05-001 (Frase de posicionamento 01 e Mensagem 01): “Você não precisa reorganizar o projeto toda vez que o dia muda. O sistema recalcula a rota e mostra o próximo passo possível.” / “O plano continua. A rota se adapta. Você executa.”</t>
        </is>
      </c>
      <c r="J670" s="17" t="n"/>
      <c r="K670" s="17" t="inlineStr">
        <is>
          <t>media</t>
        </is>
      </c>
      <c r="L670" s="17" t="inlineStr">
        <is>
          <t>parcial</t>
        </is>
      </c>
    </row>
    <row r="671">
      <c r="A671" s="17" t="inlineStr">
        <is>
          <t>EV-1ec4696947</t>
        </is>
      </c>
      <c r="B671" s="17" t="inlineStr">
        <is>
          <t>formulario</t>
        </is>
      </c>
      <c r="C671" s="17" t="inlineStr">
        <is>
          <t>dia1-2</t>
        </is>
      </c>
      <c r="D671" s="17" t="inlineStr">
        <is>
          <t>2.11 Momento 'aha'</t>
        </is>
      </c>
      <c r="E671" s="17" t="n"/>
      <c r="F671" s="17" t="inlineStr">
        <is>
          <t>PRODUTO</t>
        </is>
      </c>
      <c r="G671" s="17" t="inlineStr">
        <is>
          <t>ECO-01</t>
        </is>
      </c>
      <c r="H671" s="17" t="inlineStr">
        <is>
          <t>DOC-C11-006</t>
        </is>
      </c>
      <c r="I671" s="18" t="inlineStr">
        <is>
          <t>DOC-C07-009 (telemetry.value_event_01): cadeia literal de cinco etapas. | DOC-C11-004 (Cena A): “‘Tenho 30 minutos.’ Mostrar o sistema reduzindo um projeto complexo à próxima ação possível”; (Cena B): “Alterar uma condição do dia e mostrar plano preservado + rota recalculada.” | DOC-C05-001 (Frase de posicionamento 01 e Mensagem 01): “Você não precisa reorganizar o projeto toda vez que o dia muda. O sistema recalcula a rota e mostra o próximo passo possível.” / “O plano continua. A rota se adapta. Você executa.”</t>
        </is>
      </c>
      <c r="J671" s="17" t="n"/>
      <c r="K671" s="17" t="inlineStr">
        <is>
          <t>media</t>
        </is>
      </c>
      <c r="L671" s="17" t="inlineStr">
        <is>
          <t>parcial</t>
        </is>
      </c>
    </row>
    <row r="672">
      <c r="A672" s="17" t="inlineStr">
        <is>
          <t>EV-218de79667</t>
        </is>
      </c>
      <c r="B672" s="17" t="inlineStr">
        <is>
          <t>formulario</t>
        </is>
      </c>
      <c r="C672" s="17" t="inlineStr">
        <is>
          <t>dia1-2</t>
        </is>
      </c>
      <c r="D672" s="17" t="inlineStr">
        <is>
          <t>2.11 Momento 'aha'</t>
        </is>
      </c>
      <c r="E672" s="17" t="n"/>
      <c r="F672" s="17" t="inlineStr">
        <is>
          <t>PRODUTO</t>
        </is>
      </c>
      <c r="G672" s="17" t="inlineStr">
        <is>
          <t>ECO-01</t>
        </is>
      </c>
      <c r="H672" s="17" t="inlineStr">
        <is>
          <t>DOC-C05-001</t>
        </is>
      </c>
      <c r="I672" s="18" t="inlineStr">
        <is>
          <t>DOC-C07-009 (telemetry.value_event_01): cadeia literal de cinco etapas. | DOC-C11-004 (Cena A): “‘Tenho 30 minutos.’ Mostrar o sistema reduzindo um projeto complexo à próxima ação possível”; (Cena B): “Alterar uma condição do dia e mostrar plano preservado + rota recalculada.” | DOC-C05-001 (Frase de posicionamento 01 e Mensagem 01): “Você não precisa reorganizar o projeto toda vez que o dia muda. O sistema recalcula a rota e mostra o próximo passo possível.” / “O plano continua. A rota se adapta. Você executa.”</t>
        </is>
      </c>
      <c r="J672" s="17" t="n"/>
      <c r="K672" s="17" t="inlineStr">
        <is>
          <t>media</t>
        </is>
      </c>
      <c r="L672" s="17" t="inlineStr">
        <is>
          <t>parcial</t>
        </is>
      </c>
    </row>
    <row r="673">
      <c r="A673" s="17" t="inlineStr">
        <is>
          <t>EV-3ffdd60933</t>
        </is>
      </c>
      <c r="B673" s="17" t="inlineStr">
        <is>
          <t>formulario</t>
        </is>
      </c>
      <c r="C673" s="17" t="inlineStr">
        <is>
          <t>dia1-2</t>
        </is>
      </c>
      <c r="D673" s="17" t="inlineStr">
        <is>
          <t>2.12 User story de referência</t>
        </is>
      </c>
      <c r="E673" s="17" t="n"/>
      <c r="F673" s="17" t="inlineStr">
        <is>
          <t>PRODUTO</t>
        </is>
      </c>
      <c r="G673" s="17" t="inlineStr">
        <is>
          <t>ECO-01</t>
        </is>
      </c>
      <c r="H673" s="17" t="inlineStr">
        <is>
          <t>DOC-C05-001</t>
        </is>
      </c>
      <c r="I673" s="18" t="inlineStr">
        <is>
          <t>DOC-C05-001 (Corpo, linha Problema, Perspectiva do usuário): “Perco dinheiro e oportunidades por atrasos e desorganização. […] O momento de maior ansiedade e aflição são os primeiros 30 minutos iniciais, pois não sei onde estava ontem, o que devo fazer agora e como sei que terminei.” | DOC-C05-001 (Corpo, linha Público): “Quero começar o dia, semana, mês de trabalho executando as tarefas sem, ao mesmo tempo, me preocupar com a ordem e controle da progressão.” | DOC-C11-004 (Cena A): “‘Tenho 30 minutos.’”</t>
        </is>
      </c>
      <c r="J673" s="17" t="n"/>
      <c r="K673" s="17" t="inlineStr">
        <is>
          <t>media</t>
        </is>
      </c>
      <c r="L673" s="17" t="inlineStr">
        <is>
          <t>parcial</t>
        </is>
      </c>
    </row>
    <row r="674">
      <c r="A674" s="17" t="inlineStr">
        <is>
          <t>EV-8fb6a96218</t>
        </is>
      </c>
      <c r="B674" s="17" t="inlineStr">
        <is>
          <t>formulario</t>
        </is>
      </c>
      <c r="C674" s="17" t="inlineStr">
        <is>
          <t>dia1-2</t>
        </is>
      </c>
      <c r="D674" s="17" t="inlineStr">
        <is>
          <t>2.12 User story de referência</t>
        </is>
      </c>
      <c r="E674" s="17" t="n"/>
      <c r="F674" s="17" t="inlineStr">
        <is>
          <t>PRODUTO</t>
        </is>
      </c>
      <c r="G674" s="17" t="inlineStr">
        <is>
          <t>ECO-01</t>
        </is>
      </c>
      <c r="H674" s="17" t="inlineStr">
        <is>
          <t>DOC-C11-004</t>
        </is>
      </c>
      <c r="I674" s="18" t="inlineStr">
        <is>
          <t>DOC-C05-001 (Corpo, linha Problema, Perspectiva do usuário): “Perco dinheiro e oportunidades por atrasos e desorganização. […] O momento de maior ansiedade e aflição são os primeiros 30 minutos iniciais, pois não sei onde estava ontem, o que devo fazer agora e como sei que terminei.” | DOC-C05-001 (Corpo, linha Público): “Quero começar o dia, semana, mês de trabalho executando as tarefas sem, ao mesmo tempo, me preocupar com a ordem e controle da progressão.” | DOC-C11-004 (Cena A): “‘Tenho 30 minutos.’”</t>
        </is>
      </c>
      <c r="J674" s="17" t="n"/>
      <c r="K674" s="17" t="inlineStr">
        <is>
          <t>media</t>
        </is>
      </c>
      <c r="L674" s="17" t="inlineStr">
        <is>
          <t>parcial</t>
        </is>
      </c>
    </row>
    <row r="675">
      <c r="A675" s="17" t="inlineStr">
        <is>
          <t>EV-ecc4ee9e47</t>
        </is>
      </c>
      <c r="B675" s="17" t="inlineStr">
        <is>
          <t>formulario</t>
        </is>
      </c>
      <c r="C675" s="17" t="inlineStr">
        <is>
          <t>dia1-2</t>
        </is>
      </c>
      <c r="D675" s="17" t="inlineStr">
        <is>
          <t>2.13 Exploração de problema (pré-PRD)</t>
        </is>
      </c>
      <c r="E675" s="17" t="n"/>
      <c r="F675" s="17" t="inlineStr">
        <is>
          <t>PRODUTO</t>
        </is>
      </c>
      <c r="G675" s="17" t="inlineStr">
        <is>
          <t>TRANSVERSAL — ECO-01 e ECO-03</t>
        </is>
      </c>
      <c r="H675" s="17" t="inlineStr">
        <is>
          <t>DOC-C07-010</t>
        </is>
      </c>
      <c r="I675" s="18" t="inlineStr">
        <is>
          <t>DOC-C07-010 (3P+N): “Progresso — A hipótese central é parcialmente sustentada: há convergência forte para organização, planejamento, gestão temporal, atenção sustentada e conclusão; evidência moderada para memória prospectiva, flexibilidade e metacognição”; “Next 01 Transformar a matriz abaixo em requisitos funcionais e princípios de design verificáveis.” | DOC-C07-002 e DOC-C07-003: 11 linhas GP-01…GP-11 com colunas Função de gestão · Capacidade exigida · Vulnerabilidade associada · Evidência · Impacto operacional · Compensação sistêmica · Decisão de produto/design. | DOC-C07-009 (kpis): “questions_694: 694 · candidate_direct_links: 28 · thematic_links: 484 · no_evidence: 182 · operational_decisions: 22 · strict_verified: 0.” | DOC-C02-031 (item 3, WHITESPACE PROVISÓRIO): “perfil executivo individual → demanda cognitiva da tarefa → evento provável de falha → probabilidade/impacto → controle compensatório → evidência de execução.”</t>
        </is>
      </c>
      <c r="J675" s="17" t="n"/>
      <c r="K675" s="17" t="inlineStr">
        <is>
          <t>alta</t>
        </is>
      </c>
      <c r="L675" s="17" t="inlineStr">
        <is>
          <t>preenchido</t>
        </is>
      </c>
    </row>
    <row r="676">
      <c r="A676" s="17" t="inlineStr">
        <is>
          <t>EV-aba360284f</t>
        </is>
      </c>
      <c r="B676" s="17" t="inlineStr">
        <is>
          <t>formulario</t>
        </is>
      </c>
      <c r="C676" s="17" t="inlineStr">
        <is>
          <t>dia1-2</t>
        </is>
      </c>
      <c r="D676" s="17" t="inlineStr">
        <is>
          <t>2.13 Exploração de problema (pré-PRD)</t>
        </is>
      </c>
      <c r="E676" s="17" t="n"/>
      <c r="F676" s="17" t="inlineStr">
        <is>
          <t>PRODUTO</t>
        </is>
      </c>
      <c r="G676" s="17" t="inlineStr">
        <is>
          <t>TRANSVERSAL — ECO-01 e ECO-03</t>
        </is>
      </c>
      <c r="H676" s="17" t="inlineStr">
        <is>
          <t>DOC-C07-002</t>
        </is>
      </c>
      <c r="I676" s="18" t="inlineStr">
        <is>
          <t>DOC-C07-010 (3P+N): “Progresso — A hipótese central é parcialmente sustentada: há convergência forte para organização, planejamento, gestão temporal, atenção sustentada e conclusão; evidência moderada para memória prospectiva, flexibilidade e metacognição”; “Next 01 Transformar a matriz abaixo em requisitos funcionais e princípios de design verificáveis.” | DOC-C07-002 e DOC-C07-003: 11 linhas GP-01…GP-11 com colunas Função de gestão · Capacidade exigida · Vulnerabilidade associada · Evidência · Impacto operacional · Compensação sistêmica · Decisão de produto/design. | DOC-C07-009 (kpis): “questions_694: 694 · candidate_direct_links: 28 · thematic_links: 484 · no_evidence: 182 · operational_decisions: 22 · strict_verified: 0.” | DOC-C02-031 (item 3, WHITESPACE PROVISÓRIO): “perfil executivo individual → demanda cognitiva da tarefa → evento provável de falha → probabilidade/impacto → controle compensatório → evidência de execução.”</t>
        </is>
      </c>
      <c r="J676" s="17" t="n"/>
      <c r="K676" s="17" t="inlineStr">
        <is>
          <t>alta</t>
        </is>
      </c>
      <c r="L676" s="17" t="inlineStr">
        <is>
          <t>preenchido</t>
        </is>
      </c>
    </row>
    <row r="677">
      <c r="A677" s="17" t="inlineStr">
        <is>
          <t>EV-c0787f2e62</t>
        </is>
      </c>
      <c r="B677" s="17" t="inlineStr">
        <is>
          <t>formulario</t>
        </is>
      </c>
      <c r="C677" s="17" t="inlineStr">
        <is>
          <t>dia1-2</t>
        </is>
      </c>
      <c r="D677" s="17" t="inlineStr">
        <is>
          <t>2.13 Exploração de problema (pré-PRD)</t>
        </is>
      </c>
      <c r="E677" s="17" t="n"/>
      <c r="F677" s="17" t="inlineStr">
        <is>
          <t>PRODUTO</t>
        </is>
      </c>
      <c r="G677" s="17" t="inlineStr">
        <is>
          <t>TRANSVERSAL — ECO-01 e ECO-03</t>
        </is>
      </c>
      <c r="H677" s="17" t="inlineStr">
        <is>
          <t>DOC-C07-003</t>
        </is>
      </c>
      <c r="I677" s="18" t="inlineStr">
        <is>
          <t>DOC-C07-010 (3P+N): “Progresso — A hipótese central é parcialmente sustentada: há convergência forte para organização, planejamento, gestão temporal, atenção sustentada e conclusão; evidência moderada para memória prospectiva, flexibilidade e metacognição”; “Next 01 Transformar a matriz abaixo em requisitos funcionais e princípios de design verificáveis.” | DOC-C07-002 e DOC-C07-003: 11 linhas GP-01…GP-11 com colunas Função de gestão · Capacidade exigida · Vulnerabilidade associada · Evidência · Impacto operacional · Compensação sistêmica · Decisão de produto/design. | DOC-C07-009 (kpis): “questions_694: 694 · candidate_direct_links: 28 · thematic_links: 484 · no_evidence: 182 · operational_decisions: 22 · strict_verified: 0.” | DOC-C02-031 (item 3, WHITESPACE PROVISÓRIO): “perfil executivo individual → demanda cognitiva da tarefa → evento provável de falha → probabilidade/impacto → controle compensatório → evidência de execução.”</t>
        </is>
      </c>
      <c r="J677" s="17" t="n"/>
      <c r="K677" s="17" t="inlineStr">
        <is>
          <t>alta</t>
        </is>
      </c>
      <c r="L677" s="17" t="inlineStr">
        <is>
          <t>preenchido</t>
        </is>
      </c>
    </row>
    <row r="678">
      <c r="A678" s="17" t="inlineStr">
        <is>
          <t>EV-d951e130c2</t>
        </is>
      </c>
      <c r="B678" s="17" t="inlineStr">
        <is>
          <t>formulario</t>
        </is>
      </c>
      <c r="C678" s="17" t="inlineStr">
        <is>
          <t>dia1-2</t>
        </is>
      </c>
      <c r="D678" s="17" t="inlineStr">
        <is>
          <t>2.13 Exploração de problema (pré-PRD)</t>
        </is>
      </c>
      <c r="E678" s="17" t="n"/>
      <c r="F678" s="17" t="inlineStr">
        <is>
          <t>PRODUTO</t>
        </is>
      </c>
      <c r="G678" s="17" t="inlineStr">
        <is>
          <t>TRANSVERSAL — ECO-01 e ECO-03</t>
        </is>
      </c>
      <c r="H678" s="17" t="inlineStr">
        <is>
          <t>DOC-C05-001</t>
        </is>
      </c>
      <c r="I678" s="18" t="inlineStr">
        <is>
          <t>DOC-C07-010 (3P+N): “Progresso — A hipótese central é parcialmente sustentada: há convergência forte para organização, planejamento, gestão temporal, atenção sustentada e conclusão; evidência moderada para memória prospectiva, flexibilidade e metacognição”; “Next 01 Transformar a matriz abaixo em requisitos funcionais e princípios de design verificáveis.” | DOC-C07-002 e DOC-C07-003: 11 linhas GP-01…GP-11 com colunas Função de gestão · Capacidade exigida · Vulnerabilidade associada · Evidência · Impacto operacional · Compensação sistêmica · Decisão de produto/design. | DOC-C07-009 (kpis): “questions_694: 694 · candidate_direct_links: 28 · thematic_links: 484 · no_evidence: 182 · operational_decisions: 22 · strict_verified: 0.” | DOC-C02-031 (item 3, WHITESPACE PROVISÓRIO): “perfil executivo individual → demanda cognitiva da tarefa → evento provável de falha → probabilidade/impacto → controle compensatório → evidência de execução.”</t>
        </is>
      </c>
      <c r="J678" s="17" t="n"/>
      <c r="K678" s="17" t="inlineStr">
        <is>
          <t>alta</t>
        </is>
      </c>
      <c r="L678" s="17" t="inlineStr">
        <is>
          <t>preenchido</t>
        </is>
      </c>
    </row>
    <row r="679">
      <c r="A679" s="17" t="inlineStr">
        <is>
          <t>EV-d158fd79c9</t>
        </is>
      </c>
      <c r="B679" s="17" t="inlineStr">
        <is>
          <t>formulario</t>
        </is>
      </c>
      <c r="C679" s="17" t="inlineStr">
        <is>
          <t>dia1-2</t>
        </is>
      </c>
      <c r="D679" s="17" t="inlineStr">
        <is>
          <t>2.13 Exploração de problema (pré-PRD)</t>
        </is>
      </c>
      <c r="E679" s="17" t="n"/>
      <c r="F679" s="17" t="inlineStr">
        <is>
          <t>PRODUTO</t>
        </is>
      </c>
      <c r="G679" s="17" t="inlineStr">
        <is>
          <t>TRANSVERSAL — ECO-01 e ECO-03</t>
        </is>
      </c>
      <c r="H679" s="17" t="inlineStr">
        <is>
          <t>DOC-C07-009</t>
        </is>
      </c>
      <c r="I679" s="18" t="inlineStr">
        <is>
          <t>DOC-C07-010 (3P+N): “Progresso — A hipótese central é parcialmente sustentada: há convergência forte para organização, planejamento, gestão temporal, atenção sustentada e conclusão; evidência moderada para memória prospectiva, flexibilidade e metacognição”; “Next 01 Transformar a matriz abaixo em requisitos funcionais e princípios de design verificáveis.” | DOC-C07-002 e DOC-C07-003: 11 linhas GP-01…GP-11 com colunas Função de gestão · Capacidade exigida · Vulnerabilidade associada · Evidência · Impacto operacional · Compensação sistêmica · Decisão de produto/design. | DOC-C07-009 (kpis): “questions_694: 694 · candidate_direct_links: 28 · thematic_links: 484 · no_evidence: 182 · operational_decisions: 22 · strict_verified: 0.” | DOC-C02-031 (item 3, WHITESPACE PROVISÓRIO): “perfil executivo individual → demanda cognitiva da tarefa → evento provável de falha → probabilidade/impacto → controle compensatório → evidência de execução.”</t>
        </is>
      </c>
      <c r="J679" s="17" t="n"/>
      <c r="K679" s="17" t="inlineStr">
        <is>
          <t>alta</t>
        </is>
      </c>
      <c r="L679" s="17" t="inlineStr">
        <is>
          <t>preenchido</t>
        </is>
      </c>
    </row>
    <row r="680">
      <c r="A680" s="17" t="inlineStr">
        <is>
          <t>EV-9f94e7646a</t>
        </is>
      </c>
      <c r="B680" s="17" t="inlineStr">
        <is>
          <t>formulario</t>
        </is>
      </c>
      <c r="C680" s="17" t="inlineStr">
        <is>
          <t>dia1-2</t>
        </is>
      </c>
      <c r="D680" s="17" t="inlineStr">
        <is>
          <t>2.13 Exploração de problema (pré-PRD)</t>
        </is>
      </c>
      <c r="E680" s="17" t="n"/>
      <c r="F680" s="17" t="inlineStr">
        <is>
          <t>PRODUTO</t>
        </is>
      </c>
      <c r="G680" s="17" t="inlineStr">
        <is>
          <t>TRANSVERSAL — ECO-01 e ECO-03</t>
        </is>
      </c>
      <c r="H680" s="17" t="inlineStr">
        <is>
          <t>DOC-C02-031</t>
        </is>
      </c>
      <c r="I680" s="18" t="inlineStr">
        <is>
          <t>DOC-C07-010 (3P+N): “Progresso — A hipótese central é parcialmente sustentada: há convergência forte para organização, planejamento, gestão temporal, atenção sustentada e conclusão; evidência moderada para memória prospectiva, flexibilidade e metacognição”; “Next 01 Transformar a matriz abaixo em requisitos funcionais e princípios de design verificáveis.” | DOC-C07-002 e DOC-C07-003: 11 linhas GP-01…GP-11 com colunas Função de gestão · Capacidade exigida · Vulnerabilidade associada · Evidência · Impacto operacional · Compensação sistêmica · Decisão de produto/design. | DOC-C07-009 (kpis): “questions_694: 694 · candidate_direct_links: 28 · thematic_links: 484 · no_evidence: 182 · operational_decisions: 22 · strict_verified: 0.” | DOC-C02-031 (item 3, WHITESPACE PROVISÓRIO): “perfil executivo individual → demanda cognitiva da tarefa → evento provável de falha → probabilidade/impacto → controle compensatório → evidência de execução.”</t>
        </is>
      </c>
      <c r="J680" s="17" t="n"/>
      <c r="K680" s="17" t="inlineStr">
        <is>
          <t>alta</t>
        </is>
      </c>
      <c r="L680" s="17" t="inlineStr">
        <is>
          <t>preenchido</t>
        </is>
      </c>
    </row>
    <row r="681">
      <c r="A681" s="17" t="inlineStr">
        <is>
          <t>EV-68ddd607f3</t>
        </is>
      </c>
      <c r="B681" s="17" t="inlineStr">
        <is>
          <t>formulario</t>
        </is>
      </c>
      <c r="C681" s="17" t="inlineStr">
        <is>
          <t>dia1-2</t>
        </is>
      </c>
      <c r="D681" s="17" t="inlineStr">
        <is>
          <t>2.13 Exploração de problema (pré-PRD)</t>
        </is>
      </c>
      <c r="E681" s="17" t="n"/>
      <c r="F681" s="17" t="inlineStr">
        <is>
          <t>PRODUTO</t>
        </is>
      </c>
      <c r="G681" s="17" t="inlineStr">
        <is>
          <t>TRANSVERSAL — ECO-01 e ECO-03</t>
        </is>
      </c>
      <c r="H681" s="17" t="inlineStr">
        <is>
          <t>DOC-C01-005</t>
        </is>
      </c>
      <c r="I681" s="18" t="inlineStr">
        <is>
          <t>DOC-C07-010 (3P+N): “Progresso — A hipótese central é parcialmente sustentada: há convergência forte para organização, planejamento, gestão temporal, atenção sustentada e conclusão; evidência moderada para memória prospectiva, flexibilidade e metacognição”; “Next 01 Transformar a matriz abaixo em requisitos funcionais e princípios de design verificáveis.” | DOC-C07-002 e DOC-C07-003: 11 linhas GP-01…GP-11 com colunas Função de gestão · Capacidade exigida · Vulnerabilidade associada · Evidência · Impacto operacional · Compensação sistêmica · Decisão de produto/design. | DOC-C07-009 (kpis): “questions_694: 694 · candidate_direct_links: 28 · thematic_links: 484 · no_evidence: 182 · operational_decisions: 22 · strict_verified: 0.” | DOC-C02-031 (item 3, WHITESPACE PROVISÓRIO): “perfil executivo individual → demanda cognitiva da tarefa → evento provável de falha → probabilidade/impacto → controle compensatório → evidência de execução.”</t>
        </is>
      </c>
      <c r="J681" s="17" t="n"/>
      <c r="K681" s="17" t="inlineStr">
        <is>
          <t>alta</t>
        </is>
      </c>
      <c r="L681" s="17" t="inlineStr">
        <is>
          <t>preenchido</t>
        </is>
      </c>
    </row>
  </sheetData>
  <autoFilter ref="A1:L6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60" customWidth="1" min="4" max="4"/>
    <col width="60" customWidth="1" min="5" max="5"/>
    <col width="16" customWidth="1" min="6" max="6"/>
    <col width="12" customWidth="1" min="7" max="7"/>
    <col width="50" customWidth="1" min="8" max="8"/>
    <col width="12" customWidth="1" min="9" max="9"/>
  </cols>
  <sheetData>
    <row r="1">
      <c r="A1" s="16" t="inlineStr">
        <is>
          <t>hipotese_id</t>
        </is>
      </c>
      <c r="B1" s="16" t="inlineStr">
        <is>
          <t>unidade</t>
        </is>
      </c>
      <c r="C1" s="16" t="inlineStr">
        <is>
          <t>framework</t>
        </is>
      </c>
      <c r="D1" s="16" t="inlineStr">
        <is>
          <t>hipotese</t>
        </is>
      </c>
      <c r="E1" s="16" t="inlineStr">
        <is>
          <t>evidencia_atual</t>
        </is>
      </c>
      <c r="F1" s="16" t="inlineStr">
        <is>
          <t>documento_ids</t>
        </is>
      </c>
      <c r="G1" s="16" t="inlineStr">
        <is>
          <t>confianca</t>
        </is>
      </c>
      <c r="H1" s="16" t="inlineStr">
        <is>
          <t>teste_necessario</t>
        </is>
      </c>
      <c r="I1" s="16" t="inlineStr">
        <is>
          <t>origem</t>
        </is>
      </c>
    </row>
    <row r="2">
      <c r="A2" s="17" t="inlineStr">
        <is>
          <t>HY-bc73815278</t>
        </is>
      </c>
      <c r="B2" s="17" t="inlineStr">
        <is>
          <t>ECO-02</t>
        </is>
      </c>
      <c r="C2" s="17" t="inlineStr">
        <is>
          <t>SA-05</t>
        </is>
      </c>
      <c r="D2" s="18" t="inlineStr">
        <is>
          <t>A lacuna competitiva hipotetizada e que concorrentes seriam fortes em sintomas e medicacao e fracos em aplicacao pratica.</t>
        </is>
      </c>
      <c r="E2" s="18" t="inlineStr">
        <is>
          <t>QL-0026: 'Concorrentes seriam mais fortes em sintomas e medicacao do que em aplicacao pratica e desempenho'; recomendacao da propria fonte: 'Validar a lacuna por auditoria de conteudo e entrevistas, antes de assumir oceano azul'.</t>
        </is>
      </c>
      <c r="F2" s="17" t="inlineStr">
        <is>
          <t>DOC-C07-007</t>
        </is>
      </c>
      <c r="G2" s="17" t="inlineStr">
        <is>
          <t>0.65</t>
        </is>
      </c>
      <c r="H2" s="18" t="inlineStr">
        <is>
          <t>Fazer auditoria de 20 conteudos concorrentes classificando por Entender/Estruturar/Executar/Evoluir para confirmar ou derrubar a hipotese.</t>
        </is>
      </c>
      <c r="I2" s="17" t="inlineStr">
        <is>
          <t>strategic_analysis</t>
        </is>
      </c>
    </row>
    <row r="3">
      <c r="A3" s="17" t="inlineStr">
        <is>
          <t>HY-1a1c1c7ab8</t>
        </is>
      </c>
      <c r="B3" s="17" t="inlineStr">
        <is>
          <t>ECO-06</t>
        </is>
      </c>
      <c r="C3" s="17" t="inlineStr">
        <is>
          <t>SA-10A</t>
        </is>
      </c>
      <c r="D3" s="18" t="inlineStr">
        <is>
          <t>A atratividade do livro autoral e afirmada por whitespace, e o proprio acervo classifica isso como hipotese e nao como achado validado.</t>
        </is>
      </c>
      <c r="E3" s="18" t="inlineStr">
        <is>
          <t>MASTER_INDEX RC-016, status HIPOTESE: 'Nao foi encontrado na pesquisa executada um framework consolidado que una TDAH/funcoes executivas + risco endogeno + gestao de projetos + controles compensatorios de execucao... Validar com scoping review sistematica e especialistas.'</t>
        </is>
      </c>
      <c r="F3" s="17" t="inlineStr">
        <is>
          <t>DOC-C02-002</t>
        </is>
      </c>
      <c r="G3" s="17" t="inlineStr">
        <is>
          <t>0.9</t>
        </is>
      </c>
      <c r="H3" s="18" t="inlineStr">
        <is>
          <t>Manter o status de hipotese em toda comunicacao interna e externa ate a scoping review estar concluida.</t>
        </is>
      </c>
      <c r="I3" s="17" t="inlineStr">
        <is>
          <t>strategic_analysis</t>
        </is>
      </c>
    </row>
    <row r="4">
      <c r="A4" s="17" t="inlineStr">
        <is>
          <t>HY-8f65223004</t>
        </is>
      </c>
      <c r="B4" s="17" t="inlineStr">
        <is>
          <t>ECO-01</t>
        </is>
      </c>
      <c r="C4" s="17" t="n"/>
      <c r="D4" s="18" t="inlineStr">
        <is>
          <t>1.7 CAC (custo de aquisição): Não existe CAC observado. Existe apenas guardrail modelado: TARGET-CAC provisório ≤ R$70 (alvo conservador) e alerta/limite de aproximadamente R$95 (cenário-base); e CAC máximo por cenário para manter</t>
        </is>
      </c>
      <c r="E4" s="18" t="inlineStr">
        <is>
          <t>DOC-C07-009 (bloco “CAC guardrail”): “≤ R$70 alvo conservador; ≈ R$95 alerta / cenário-base. CAC observado = gasto atribuível / novos clientes pagantes. CPI, CPM, clique e cadastro não substituem CAC.” | Achado CAC-HYP-01 (epistemic_class E, status MODEL_GUARDRAIL): “Guardrail econômico; CAC observado só existe após campanha e aquisição pagante.” | Gap registrado: {gap: CAC, status: “MODELO + GUARDRAIL”, closed: false, remaining: “Campanhas e clientes pagantes.”}</t>
        </is>
      </c>
      <c r="F4" s="17" t="inlineStr">
        <is>
          <t>DOC-C07-009</t>
        </is>
      </c>
      <c r="G4" s="17" t="inlineStr">
        <is>
          <t>media</t>
        </is>
      </c>
      <c r="H4" s="18" t="inlineStr">
        <is>
          <t>Não preencher com número. Instrumentar acquisition_source/campaign_id/paid_at antes da primeira campanha paga e só então calcular CAC observado.</t>
        </is>
      </c>
      <c r="I4" s="17" t="inlineStr">
        <is>
          <t>formulario</t>
        </is>
      </c>
    </row>
    <row r="5">
      <c r="A5" s="17" t="inlineStr">
        <is>
          <t>HY-a97b042d7b</t>
        </is>
      </c>
      <c r="B5" s="17" t="inlineStr">
        <is>
          <t>ECO-01</t>
        </is>
      </c>
      <c r="C5" s="17" t="n"/>
      <c r="D5" s="18" t="inlineStr">
        <is>
          <t>1.8 LTV (valor do tempo de vida): Não existe LTV observado. Existe apenas LTV modelado sob premissas declaradas como classe E: ARPU mensal de R$49,90 e margem bruta assumida de 85%; cenário otimista com churn mensal de 10% → LTV R$424</t>
        </is>
      </c>
      <c r="E5" s="18" t="inlineStr">
        <is>
          <t>DOC-C07-009 (unit_economics, status MODEL_HYPOTHESIS_NOT_OBSERVED): “arpu_monthly_brl: 49.9; gross_margin_assumption: 0.85; scenarios: optimistic churn 0.10 → ltv 424; base churn 0.15 → ltv 282.77; conservative churn 0.20 → ltv 212.” | Achado LTV-HYP-01: “LTV_MODEL_BASE ≈ R$282,77 sob ARPU R$49,90, margem bruta 85% e churn mensal 15%. […] Não persistir como LTV factual.” | Gap registrado: {gap: LTV, status: “MODELO HIPOTÉTICO”, closed: false, remaining: “Retenção, churn e margem reais.”}</t>
        </is>
      </c>
      <c r="F5" s="17" t="inlineStr">
        <is>
          <t>DOC-C07-009</t>
        </is>
      </c>
      <c r="G5" s="17" t="inlineStr">
        <is>
          <t>media</t>
        </is>
      </c>
      <c r="H5" s="18" t="inlineStr">
        <is>
          <t>Não preencher com número. Rodar as coortes LTV_30/60/90 após o primeiro piloto pagante e substituir o modelo.</t>
        </is>
      </c>
      <c r="I5" s="17" t="inlineStr">
        <is>
          <t>formulario</t>
        </is>
      </c>
    </row>
    <row r="6">
      <c r="A6" s="17" t="inlineStr">
        <is>
          <t>HY-0faf54c756</t>
        </is>
      </c>
      <c r="B6" s="17" t="inlineStr">
        <is>
          <t>ECO-01 (com persona própria em ECO-07)</t>
        </is>
      </c>
      <c r="C6" s="17" t="n"/>
      <c r="D6" s="18" t="inlineStr">
        <is>
          <t>2.7 Persona principal: Não há artefato de persona (nome, cenário, objetivos, frustrações) em nenhum documento. O que existe são duas descrições de ICP em conflito — as mesmas do campo 1.2 — acrescidas de perspectivas em pri</t>
        </is>
      </c>
      <c r="E6" s="18" t="inlineStr">
        <is>
          <t>DOC-C05-001 (Corpo, linha Público): texto integral da versão A, com a perspectiva do usuário “Quero começar o dia, semana, mês de trabalho executando as tarefas sem, ao mesmo tempo, me preocupar com a ordem e controle da progressão.” | DOC-C07-009 (ICP comercial a testar): texto integral da versão B, com “Decisão ICP-01: testar comportamento e problema primeiro; diagnóstico não define o ICP comercial inicial.” | DOC-C12-003: dez perguntas do formulário de entrada do Estúdio, que operacionalizam o perfil (como trabalha hoje, principal atrito, ferramentas atuais, dificuldade de retomada, relação com papel/físico).</t>
        </is>
      </c>
      <c r="F6" s="17" t="inlineStr">
        <is>
          <t>DOC-C05-001;DOC-C07-009;DOC-C12-003</t>
        </is>
      </c>
      <c r="G6" s="17" t="inlineStr">
        <is>
          <t>media</t>
        </is>
      </c>
      <c r="H6" s="18" t="inlineStr">
        <is>
          <t>Resolver o conflito de ICP e escrever uma persona única derivada da versão vencedora; ICP-01 já prevê “recrutar ICP comportamental e medir ativação, recorrência, pagamento e retenção”.</t>
        </is>
      </c>
      <c r="I6" s="17" t="inlineStr">
        <is>
          <t>formulario</t>
        </is>
      </c>
    </row>
    <row r="7">
      <c r="A7" s="17" t="inlineStr">
        <is>
          <t>HY-5a7dbdfa59</t>
        </is>
      </c>
      <c r="B7" s="17" t="inlineStr">
        <is>
          <t>ECO-01 (com recorrência contratual própria em ECO-07)</t>
        </is>
      </c>
      <c r="C7" s="17" t="n"/>
      <c r="D7" s="18" t="inlineStr">
        <is>
          <t>2.10 Jornada — Uso recorrente: O uso recorrente é desenhado como uso deliberadamente baixo — e isso é assumido como hipótese, não como fato. Promessa: “uso mínimo do app — cerca de 1–2 vezes por semana”; princípio: “o usuário não e</t>
        </is>
      </c>
      <c r="E7" s="18" t="inlineStr">
        <is>
          <t>DOC-C05-001 (Promessa principal): “Zero configuração, mínimo de personalização, uso mínimo do app — cerca de 1–2 vezes por semana — e externalização cognitiva”; (Diferencial 03): “a superioridade específica do analógico e a frequência ideal de ‘1–2 vezes por semana’ permanecem hipóteses de produto/design, não resultados empiricamente demonstrados nos documentos.” | DOC-C11-006 (Cena A): “/bomdia → reconstruir estado → mostrar trabalho atual.” | DOC-C07-009 (telemetry): “cohorts: W1, W2, W4, W8”; “execution_cycles_per_week”. | DOC-C11-008 (Mensagem): “O sistema pode sustentar o trabalho sem exigir permanência contínua na tela.”</t>
        </is>
      </c>
      <c r="F7" s="17" t="inlineStr">
        <is>
          <t>DOC-C05-001;DOC-C07-009;DOC-C11-006;DOC-C11-008</t>
        </is>
      </c>
      <c r="G7" s="17" t="inlineStr">
        <is>
          <t>media</t>
        </is>
      </c>
      <c r="H7" s="18" t="inlineStr">
        <is>
          <t>Medir a frequência real de uso no piloto para confirmar ou falsear a hipótese de 1–2 vezes por semana, que hoje sustenta a promessa central do produto.</t>
        </is>
      </c>
      <c r="I7" s="17" t="inlineStr">
        <is>
          <t>formulario</t>
        </is>
      </c>
    </row>
  </sheetData>
  <autoFilter ref="A1:I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64" customWidth="1" min="5" max="5"/>
    <col width="16" customWidth="1" min="6" max="6"/>
    <col width="12" customWidth="1" min="7" max="7"/>
    <col width="12" customWidth="1" min="8" max="8"/>
    <col width="52" customWidth="1" min="9" max="9"/>
    <col width="19" customWidth="1" min="10" max="10"/>
  </cols>
  <sheetData>
    <row r="1">
      <c r="A1" s="16" t="inlineStr">
        <is>
          <t>risco_id</t>
        </is>
      </c>
      <c r="B1" s="16" t="inlineStr">
        <is>
          <t>unidade</t>
        </is>
      </c>
      <c r="C1" s="16" t="inlineStr">
        <is>
          <t>framework</t>
        </is>
      </c>
      <c r="D1" s="16" t="inlineStr">
        <is>
          <t>evento</t>
        </is>
      </c>
      <c r="E1" s="16" t="inlineStr">
        <is>
          <t>causa_evidencia</t>
        </is>
      </c>
      <c r="F1" s="16" t="inlineStr">
        <is>
          <t>documento_ids</t>
        </is>
      </c>
      <c r="G1" s="16" t="inlineStr">
        <is>
          <t>impacto</t>
        </is>
      </c>
      <c r="H1" s="16" t="inlineStr">
        <is>
          <t>urgencia</t>
        </is>
      </c>
      <c r="I1" s="16" t="inlineStr">
        <is>
          <t>controle</t>
        </is>
      </c>
      <c r="J1" s="16" t="inlineStr">
        <is>
          <t>status_evidencia</t>
        </is>
      </c>
    </row>
    <row r="2">
      <c r="A2" s="17" t="inlineStr">
        <is>
          <t>RI-4196aa2cf4</t>
        </is>
      </c>
      <c r="B2" s="17" t="inlineStr">
        <is>
          <t>ECO-01</t>
        </is>
      </c>
      <c r="C2" s="17" t="inlineStr">
        <is>
          <t>SA-01</t>
        </is>
      </c>
      <c r="D2" s="18" t="inlineStr">
        <is>
          <t>Posicionar o app como diagnostico ou tratamento de TDAH pode acionar o regime de Software como Dispositivo Medico da Anvisa.</t>
        </is>
      </c>
      <c r="E2" s="18" t="inlineStr">
        <is>
          <t>Fonte SRC-RG8-ANVISA-SAMD no dashboard: 'RDC 657/2022 - Software como Dispositivo Medico... Enquadramento SaMD depende da indicacao e funcao; software que diagnostica/trata pode entrar no regime regulatorio.'</t>
        </is>
      </c>
      <c r="F2" s="17" t="inlineStr">
        <is>
          <t>DOC-C07-009</t>
        </is>
      </c>
      <c r="G2" s="17" t="inlineStr">
        <is>
          <t>high</t>
        </is>
      </c>
      <c r="H2" s="17" t="inlineStr">
        <is>
          <t>high</t>
        </is>
      </c>
      <c r="I2" s="18" t="inlineStr">
        <is>
          <t>Manter POSITION-01 e CLAIM-01 como travas de copy e submeter o texto final de lancamento a revisao juridica antes de 07/09.</t>
        </is>
      </c>
      <c r="J2" s="17" t="inlineStr">
        <is>
          <t>fact</t>
        </is>
      </c>
    </row>
    <row r="3">
      <c r="A3" s="17" t="inlineStr">
        <is>
          <t>RI-f75dcb68ce</t>
        </is>
      </c>
      <c r="B3" s="17" t="inlineStr">
        <is>
          <t>ECO-01</t>
        </is>
      </c>
      <c r="C3" s="17" t="inlineStr">
        <is>
          <t>SA-01</t>
        </is>
      </c>
      <c r="D3" s="18" t="inlineStr">
        <is>
          <t>Coletar diagnostico de TDAH no onboarding transformaria a base em dado pessoal sensivel sob a LGPD, sem necessidade funcional.</t>
        </is>
      </c>
      <c r="E3" s="18" t="inlineStr">
        <is>
          <t>Fonte SRC-RG8-ANPD-LGPD: 'Dado referente a saude e dado pessoal sensivel; minimizacao favorece nao coletar diagnostico quando desnecessario.' Decisao ICP-01: 'diagnostico nao define o ICP comercial inicial'.</t>
        </is>
      </c>
      <c r="F3" s="17" t="inlineStr">
        <is>
          <t>DOC-C07-009</t>
        </is>
      </c>
      <c r="G3" s="17" t="inlineStr">
        <is>
          <t>high</t>
        </is>
      </c>
      <c r="H3" s="17" t="inlineStr">
        <is>
          <t>medium</t>
        </is>
      </c>
      <c r="I3" s="18" t="inlineStr">
        <is>
          <t>Manter diagnostico como variavel opcional pos-ativacao, com base legal e finalidade declaradas, nunca como criterio de entrada.</t>
        </is>
      </c>
      <c r="J3" s="17" t="inlineStr">
        <is>
          <t>fact</t>
        </is>
      </c>
    </row>
    <row r="4">
      <c r="A4" s="17" t="inlineStr">
        <is>
          <t>RI-569869652a</t>
        </is>
      </c>
      <c r="B4" s="17" t="inlineStr">
        <is>
          <t>ECO-02</t>
        </is>
      </c>
      <c r="C4" s="17" t="inlineStr">
        <is>
          <t>SA-01</t>
        </is>
      </c>
      <c r="D4" s="18" t="inlineStr">
        <is>
          <t>A politica de claims proibe hoje seis formulacoes clinicas no conteudo editorial e comercial.</t>
        </is>
      </c>
      <c r="E4" s="18" t="inlineStr">
        <is>
          <t>claims_policy.prohibited_now: 'Reduz sintomas de TDAH', 'Melhora funcao executiva clinicamente', 'Trata TDAH', 'Diagnostica ou identifica TDAH', 'Substitui terapia, tratamento ou medicacao', 'Cientificamente comprovado para TDAH'.</t>
        </is>
      </c>
      <c r="F4" s="17" t="inlineStr">
        <is>
          <t>DOC-C07-009</t>
        </is>
      </c>
      <c r="G4" s="17" t="inlineStr">
        <is>
          <t>high</t>
        </is>
      </c>
      <c r="H4" s="17" t="inlineStr">
        <is>
          <t>high</t>
        </is>
      </c>
      <c r="I4" s="18" t="inlineStr">
        <is>
          <t>Transformar a lista em checklist de QA editorial obrigatorio antes de publicar cada peca (PECA-001/002/003).</t>
        </is>
      </c>
      <c r="J4" s="17" t="inlineStr">
        <is>
          <t>fact</t>
        </is>
      </c>
    </row>
    <row r="5">
      <c r="A5" s="17" t="inlineStr">
        <is>
          <t>RI-5b044fb03c</t>
        </is>
      </c>
      <c r="B5" s="17" t="inlineStr">
        <is>
          <t>ECO-03</t>
        </is>
      </c>
      <c r="C5" s="17" t="inlineStr">
        <is>
          <t>SA-01</t>
        </is>
      </c>
      <c r="D5" s="18" t="inlineStr">
        <is>
          <t>A APM publicou em 26/08/2026 a formulacao de que projetos tambem podem falhar cognitivamente, criando adjacencia temporal muito proxima a tese.</t>
        </is>
      </c>
      <c r="E5" s="18" t="inlineStr">
        <is>
          <t>DOC-C02-042 (Alerta): 'Sarah Gardner... publicou na APM em 26/08/2026 a formulacao de que projetos tambem podem falhar cognitivamente, embora seu foco seja IA, julgamento e governanca'; RC-TERM-009 marca STATUS SINAL_RECENTE.</t>
        </is>
      </c>
      <c r="F5" s="17" t="inlineStr">
        <is>
          <t>DOC-C02-042;DOC-C02-030;DOC-C02-022</t>
        </is>
      </c>
      <c r="G5" s="17" t="inlineStr">
        <is>
          <t>high</t>
        </is>
      </c>
      <c r="H5" s="17" t="inlineStr">
        <is>
          <t>high</t>
        </is>
      </c>
      <c r="I5" s="18" t="inlineStr">
        <is>
          <t>Acelerar o registro publico da formulacao propria (artigo fundador datado + white paper) para preservar anterioridade documentada.</t>
        </is>
      </c>
      <c r="J5" s="17" t="inlineStr">
        <is>
          <t>fact</t>
        </is>
      </c>
    </row>
    <row r="6">
      <c r="A6" s="17" t="inlineStr">
        <is>
          <t>RI-cd8ffd01f1</t>
        </is>
      </c>
      <c r="B6" s="17" t="inlineStr">
        <is>
          <t>ECO-01</t>
        </is>
      </c>
      <c r="C6" s="17" t="inlineStr">
        <is>
          <t>SA-02</t>
        </is>
      </c>
      <c r="D6" s="18" t="inlineStr">
        <is>
          <t>Os concorrentes diretos citados sao ferramentas horizontais de produtividade com limitacoes documentadas para o publico-alvo.</t>
        </is>
      </c>
      <c r="E6" s="18" t="inlineStr">
        <is>
          <t>QL-000053: 'Trello... necessitando de plug-ins adicionais para rastrear progresso'; QL-000054: 'Todoist... limitado para iniciar tarefas e sem recursos de regulacao emocional'; QT-000172: '30,0% dos usuarios com TDAH consideram o Notion dificil de configurar/usar'.</t>
        </is>
      </c>
      <c r="F6" s="17" t="inlineStr">
        <is>
          <t>DOC-C07-007;DOC-C07-009</t>
        </is>
      </c>
      <c r="G6" s="17" t="inlineStr">
        <is>
          <t>high</t>
        </is>
      </c>
      <c r="H6" s="17" t="inlineStr">
        <is>
          <t>high</t>
        </is>
      </c>
      <c r="I6" s="18" t="inlineStr">
        <is>
          <t>Ancorar o posicionamento na lacuna de iniciacao e retomada, nao em paridade de features com Notion/Trello/Todoist.</t>
        </is>
      </c>
      <c r="J6" s="17" t="inlineStr">
        <is>
          <t>fact</t>
        </is>
      </c>
    </row>
    <row r="7">
      <c r="A7" s="17" t="inlineStr">
        <is>
          <t>RI-06a9442012</t>
        </is>
      </c>
      <c r="B7" s="17" t="inlineStr">
        <is>
          <t>ECO-01</t>
        </is>
      </c>
      <c r="C7" s="17" t="inlineStr">
        <is>
          <t>SA-02</t>
        </is>
      </c>
      <c r="D7" s="18" t="inlineStr">
        <is>
          <t>Existem concorrentes com evidencia clinica ou aprovacao regulatoria que o EXECUTAR nao pode igualar hoje.</t>
        </is>
      </c>
      <c r="E7" s="18" t="inlineStr">
        <is>
          <t>QT-000177: 'Eficacia de app baseado em TCC (estudo aberto do app Inflow)'; QT-000178/179: 'videogame terapeutico aprovado por agencia regulatoria... p&lt;0.0001... 72,5% melhoria na qualidade de vida (STARS-ADHD-Adult)'.</t>
        </is>
      </c>
      <c r="F7" s="17" t="inlineStr">
        <is>
          <t>DOC-C07-007;DOC-C07-009</t>
        </is>
      </c>
      <c r="G7" s="17" t="inlineStr">
        <is>
          <t>high</t>
        </is>
      </c>
      <c r="H7" s="17" t="inlineStr">
        <is>
          <t>high</t>
        </is>
      </c>
      <c r="I7" s="18" t="inlineStr">
        <is>
          <t>Competir por eficacia funcional (time-to-next-action, resume latency), terreno onde nao ha comparador regulado, e nao por desfecho clinico.</t>
        </is>
      </c>
      <c r="J7" s="17" t="inlineStr">
        <is>
          <t>fact</t>
        </is>
      </c>
    </row>
    <row r="8">
      <c r="A8" s="17" t="inlineStr">
        <is>
          <t>RI-44e652eb15</t>
        </is>
      </c>
      <c r="B8" s="17" t="inlineStr">
        <is>
          <t>ECO-03</t>
        </is>
      </c>
      <c r="C8" s="17" t="inlineStr">
        <is>
          <t>SA-02</t>
        </is>
      </c>
      <c r="D8" s="18" t="inlineStr">
        <is>
          <t>O framework compete com corpos metodologicos ja consolidados, e a fonte reconhece isso.</t>
        </is>
      </c>
      <c r="E8" s="18" t="inlineStr">
        <is>
          <t>RC-TERM-007/008 classificam 'Cognitive Risk' e 'Managing Cognitive Risk' como ANTERIORIDADE; RC-012: 'PMI estrutura multiplos dominios'; RC-TERM-011/012/013 marcam ergonomia cognitiva, fatores humanos e neuroergonomia como adjacentes fortes.</t>
        </is>
      </c>
      <c r="F8" s="17" t="inlineStr">
        <is>
          <t>DOC-C02-030;DOC-C02-022;DOC-C02-031</t>
        </is>
      </c>
      <c r="G8" s="17" t="inlineStr">
        <is>
          <t>high</t>
        </is>
      </c>
      <c r="H8" s="17" t="inlineStr">
        <is>
          <t>high</t>
        </is>
      </c>
      <c r="I8" s="18" t="inlineStr">
        <is>
          <t>Manter o guardrail de nao reivindicar o termo e posicionar a contribuicao como integracao especifica, conforme RC-030.</t>
        </is>
      </c>
      <c r="J8" s="17" t="inlineStr">
        <is>
          <t>fact</t>
        </is>
      </c>
    </row>
    <row r="9">
      <c r="A9" s="17" t="inlineStr">
        <is>
          <t>RI-3ebf9d6364</t>
        </is>
      </c>
      <c r="B9" s="17" t="inlineStr">
        <is>
          <t>ECO-01</t>
        </is>
      </c>
      <c r="C9" s="17" t="inlineStr">
        <is>
          <t>SA-03A</t>
        </is>
      </c>
      <c r="D9" s="18" t="inlineStr">
        <is>
          <t>A categoria declarada do produto e sistema de gestao de processos, projetos, tarefas e workflows orientado a execucao.</t>
        </is>
      </c>
      <c r="E9" s="18" t="inlineStr">
        <is>
          <t>DOC-C05-001, item 03 do index: 'Sistema de gestao de processos, projetos, tarefas e workflows, orientado a execucao, adaptado as vulnerabilidades do usuario, com uso digital minimo e integracao analogica'.</t>
        </is>
      </c>
      <c r="F9" s="17" t="inlineStr">
        <is>
          <t>DOC-C05-001</t>
        </is>
      </c>
      <c r="G9" s="17" t="inlineStr">
        <is>
          <t>high</t>
        </is>
      </c>
      <c r="H9" s="17" t="inlineStr">
        <is>
          <t>medium</t>
        </is>
      </c>
      <c r="I9" s="18" t="inlineStr">
        <is>
          <t>Usar essa definicao como texto canonico da pagina inicial em vez de 'app de produtividade'.</t>
        </is>
      </c>
      <c r="J9" s="17" t="inlineStr">
        <is>
          <t>fact</t>
        </is>
      </c>
    </row>
    <row r="10">
      <c r="A10" s="17" t="inlineStr">
        <is>
          <t>RI-a9310b8e2d</t>
        </is>
      </c>
      <c r="B10" s="17" t="inlineStr">
        <is>
          <t>ECO-03</t>
        </is>
      </c>
      <c r="C10" s="17" t="inlineStr">
        <is>
          <t>SA-03A</t>
        </is>
      </c>
      <c r="D10" s="18" t="inlineStr">
        <is>
          <t>A tese explora a fronteira entre tres mercados de conteudo hoje separados.</t>
        </is>
      </c>
      <c r="E10" s="18" t="inlineStr">
        <is>
          <t>DOC-C01-005: 'Ha tres mercados de conteudo que normalmente ficam separados... neurodivergencia... produtividade pessoal... gestao de riscos'; a proposta e 'colocar uma ponte no meio'.</t>
        </is>
      </c>
      <c r="F10" s="17" t="inlineStr">
        <is>
          <t>DOC-C01-005;DOC-C03-002</t>
        </is>
      </c>
      <c r="G10" s="17" t="inlineStr">
        <is>
          <t>high</t>
        </is>
      </c>
      <c r="H10" s="17" t="inlineStr">
        <is>
          <t>medium</t>
        </is>
      </c>
      <c r="I10" s="18" t="inlineStr">
        <is>
          <t>Descrever o territorio como interseccao, o que tambem explica por que nao ha benchmark direto de tamanho de mercado.</t>
        </is>
      </c>
      <c r="J10" s="17" t="inlineStr">
        <is>
          <t>fact</t>
        </is>
      </c>
    </row>
    <row r="11">
      <c r="A11" s="17" t="inlineStr">
        <is>
          <t>RI-b7801ff903</t>
        </is>
      </c>
      <c r="B11" s="17" t="inlineStr">
        <is>
          <t>ECO-01</t>
        </is>
      </c>
      <c r="C11" s="17" t="inlineStr">
        <is>
          <t>SA-03B</t>
        </is>
      </c>
      <c r="D11" s="18" t="inlineStr">
        <is>
          <t>O material interno afirma TAM estimado de R$ 5,07 bilhoes (Brasil), sem metodologia recuperavel.</t>
        </is>
      </c>
      <c r="E11" s="18" t="inlineStr">
        <is>
          <t>QT-0131: 'TAM estimado 5070000000.0 R$', geografia Brasil, fonte 'Documento Final Unificado: Sintese Estrategica de Neuroexecucao Aplicada', arquivo IMG_0537.HEIC, 'base amostral: Nao informada na imagem', 'Requer validacao na referencia original'.</t>
        </is>
      </c>
      <c r="F11" s="17" t="inlineStr">
        <is>
          <t>DOC-C07-007;DOC-C07-009</t>
        </is>
      </c>
      <c r="G11" s="17" t="inlineStr">
        <is>
          <t>high</t>
        </is>
      </c>
      <c r="H11" s="17" t="inlineStr">
        <is>
          <t>high</t>
        </is>
      </c>
      <c r="I11" s="18" t="inlineStr">
        <is>
          <t>Tratar como numero herdado nao auditavel; nao usar em deck, investidor ou copy ate existir memoria de calculo.</t>
        </is>
      </c>
      <c r="J11" s="17" t="inlineStr">
        <is>
          <t>fact</t>
        </is>
      </c>
    </row>
    <row r="12">
      <c r="A12" s="17" t="inlineStr">
        <is>
          <t>RI-54c52eff6f</t>
        </is>
      </c>
      <c r="B12" s="17" t="inlineStr">
        <is>
          <t>ECO-01</t>
        </is>
      </c>
      <c r="C12" s="17" t="inlineStr">
        <is>
          <t>SA-03B</t>
        </is>
      </c>
      <c r="D12" s="18" t="inlineStr">
        <is>
          <t>Nao ha base nem metodologia identificavel para produzir um TAM defensavel do EXECUTAR neste acervo.</t>
        </is>
      </c>
      <c r="E12" s="18" t="inlineStr">
        <is>
          <t>Falta: universo de compradores definido, taxa de adocao, preco medio validado e fonte bibliografica ([1]-[8] ausente). O proprio dashboard adverte que 26,1 mi de trabalhadores por conta propria 'Nao equivale a TAM do EXECUTAR'.</t>
        </is>
      </c>
      <c r="F12" s="17" t="inlineStr">
        <is>
          <t>DOC-C07-009;DOC-C07-007</t>
        </is>
      </c>
      <c r="G12" s="17" t="inlineStr">
        <is>
          <t>high</t>
        </is>
      </c>
      <c r="H12" s="17" t="inlineStr">
        <is>
          <t>high</t>
        </is>
      </c>
      <c r="I12" s="18" t="inlineStr">
        <is>
          <t>Para fechar: fixar universo (ex.: conta propria com uso de ferramenta digital), taxa de adocao observada e ARPU validado por PRICE-01; so entao calcular.</t>
        </is>
      </c>
      <c r="J12" s="17" t="inlineStr">
        <is>
          <t>gap</t>
        </is>
      </c>
    </row>
    <row r="13">
      <c r="A13" s="17" t="inlineStr">
        <is>
          <t>RI-4270e3477c</t>
        </is>
      </c>
      <c r="B13" s="17" t="inlineStr">
        <is>
          <t>ECO-01</t>
        </is>
      </c>
      <c r="C13" s="17" t="inlineStr">
        <is>
          <t>SA-03B</t>
        </is>
      </c>
      <c r="D13" s="18" t="inlineStr">
        <is>
          <t>Ha duas posicoes incompativeis sobre dimensionamento de mercado dentro do mesmo acervo.</t>
        </is>
      </c>
      <c r="E13" s="18" t="inlineStr">
        <is>
          <t>Versao A (QT-0131/132/133): TAM R$5,07 bi, SAM R$357,3 mi, SOM R$3,26 mi em 3 anos. Versao B (dashboard V3 Final): 'Contexto de mercado. Nao equivale a TAM do EXECUTAR' e 'Strict VERIFIED 0'.</t>
        </is>
      </c>
      <c r="F13" s="17" t="inlineStr">
        <is>
          <t>DOC-C07-007;DOC-C07-009</t>
        </is>
      </c>
      <c r="G13" s="17" t="inlineStr">
        <is>
          <t>high</t>
        </is>
      </c>
      <c r="H13" s="17" t="inlineStr">
        <is>
          <t>high</t>
        </is>
      </c>
      <c r="I13" s="18" t="inlineStr">
        <is>
          <t>Registrar formalmente que a V3 supera a estimativa herdada e marcar QT-0131/132/133 como legado nao verificado no proprio warehouse.</t>
        </is>
      </c>
      <c r="J13" s="17" t="inlineStr">
        <is>
          <t>conflict</t>
        </is>
      </c>
    </row>
    <row r="14">
      <c r="A14" s="17" t="inlineStr">
        <is>
          <t>RI-cb025f0227</t>
        </is>
      </c>
      <c r="B14" s="17" t="inlineStr">
        <is>
          <t>ECO-01</t>
        </is>
      </c>
      <c r="C14" s="17" t="inlineStr">
        <is>
          <t>SA-03C</t>
        </is>
      </c>
      <c r="D14" s="18" t="inlineStr">
        <is>
          <t>O material interno afirma SAM de R$ 357,3 milhoes e publico potencial de 6 milhoes de pessoas, sem metodologia recuperavel.</t>
        </is>
      </c>
      <c r="E14" s="18" t="inlineStr">
        <is>
          <t>QT-0132: 'SAM estimado 357300000.0 R$'; QT-0134: 'Publico potencial do SAM 6000000.0 pessoas'. Mesma limitacao: 'A imagem cita a referencia por numero, mas a lista bibliografica [1]-[8] nao esta no material anexado'.</t>
        </is>
      </c>
      <c r="F14" s="17" t="inlineStr">
        <is>
          <t>DOC-C07-007;DOC-C07-009</t>
        </is>
      </c>
      <c r="G14" s="17" t="inlineStr">
        <is>
          <t>high</t>
        </is>
      </c>
      <c r="H14" s="17" t="inlineStr">
        <is>
          <t>high</t>
        </is>
      </c>
      <c r="I14" s="18" t="inlineStr">
        <is>
          <t>Recalcular SAM a partir do recorte ICP-01 (independente/solo, 25-44, multiprojeto) quando houver taxa de qualificacao observada.</t>
        </is>
      </c>
      <c r="J14" s="17" t="inlineStr">
        <is>
          <t>fact</t>
        </is>
      </c>
    </row>
    <row r="15">
      <c r="A15" s="17" t="inlineStr">
        <is>
          <t>RI-9d2348696e</t>
        </is>
      </c>
      <c r="B15" s="17" t="inlineStr">
        <is>
          <t>ECO-01</t>
        </is>
      </c>
      <c r="C15" s="17" t="inlineStr">
        <is>
          <t>SA-03D</t>
        </is>
      </c>
      <c r="D15" s="18" t="inlineStr">
        <is>
          <t>O material interno projeta SOM de R$ 3,26 milhoes em 3 anos, com meta de 500.000 inscritos e 1% de conversao anual.</t>
        </is>
      </c>
      <c r="E15" s="18" t="inlineStr">
        <is>
          <t>QT-0133 'SOM projetado para tres anos 3260000.0 R$'; QT-0135 'Meta de inscritos 500000.0 / 3 anos'; QT-0136 'Conversao anual projetada 1,0%'.</t>
        </is>
      </c>
      <c r="F15" s="17" t="inlineStr">
        <is>
          <t>DOC-C07-007;DOC-C07-009</t>
        </is>
      </c>
      <c r="G15" s="17" t="inlineStr">
        <is>
          <t>high</t>
        </is>
      </c>
      <c r="H15" s="17" t="inlineStr">
        <is>
          <t>high</t>
        </is>
      </c>
      <c r="I15" s="18" t="inlineStr">
        <is>
          <t>Confrontar a meta de 500 mil inscritos com o objetivo SMART vigente, que proibe 'metas arbitrarias de seguidores ou leads sem baseline'.</t>
        </is>
      </c>
      <c r="J15" s="17" t="inlineStr">
        <is>
          <t>fact</t>
        </is>
      </c>
    </row>
    <row r="16">
      <c r="A16" s="17" t="inlineStr">
        <is>
          <t>RI-445c3d3510</t>
        </is>
      </c>
      <c r="B16" s="17" t="inlineStr">
        <is>
          <t>ECO-02</t>
        </is>
      </c>
      <c r="C16" s="17" t="inlineStr">
        <is>
          <t>SA-03D</t>
        </is>
      </c>
      <c r="D16" s="18" t="inlineStr">
        <is>
          <t>A meta herdada de 500.000 inscritos contradiz a regra vigente de nao fixar metas sem baseline.</t>
        </is>
      </c>
      <c r="E16" s="18" t="inlineStr">
        <is>
          <t>QT-0135: 'Meta de inscritos 500000.0'. DOC-C02-043 (Objetivo SMART): 'Nao estabelecer ainda metas arbitrarias de seguidores ou leads sem baseline.'</t>
        </is>
      </c>
      <c r="F16" s="17" t="inlineStr">
        <is>
          <t>DOC-C07-007;DOC-C02-043</t>
        </is>
      </c>
      <c r="G16" s="17" t="inlineStr">
        <is>
          <t>medium</t>
        </is>
      </c>
      <c r="H16" s="17" t="inlineStr">
        <is>
          <t>medium</t>
        </is>
      </c>
      <c r="I16" s="18" t="inlineStr">
        <is>
          <t>Aposentar a meta de 500 mil ate a campanha D1-D14 gerar baseline de visualizacoes, retencao, inscricoes e downloads.</t>
        </is>
      </c>
      <c r="J16" s="17" t="inlineStr">
        <is>
          <t>conflict</t>
        </is>
      </c>
    </row>
    <row r="17">
      <c r="A17" s="17" t="inlineStr">
        <is>
          <t>RI-d12c9d1997</t>
        </is>
      </c>
      <c r="B17" s="17" t="inlineStr">
        <is>
          <t>ECO-01</t>
        </is>
      </c>
      <c r="C17" s="17" t="inlineStr">
        <is>
          <t>SA-04A</t>
        </is>
      </c>
      <c r="D17" s="17" t="inlineStr">
        <is>
          <t>A segmentacao adotada e comportamental, nao clinica.</t>
        </is>
      </c>
      <c r="E17" s="18" t="inlineStr">
        <is>
          <t>Decisao ICP-01: 'Iniciar testes por profissionais independentes multiprojeto, sem exigir diagnostico de TDAH'; 'O que nao e criterio de entrada: Diagnostico de TDAH'.</t>
        </is>
      </c>
      <c r="F17" s="17" t="inlineStr">
        <is>
          <t>DOC-C07-009</t>
        </is>
      </c>
      <c r="G17" s="17" t="inlineStr">
        <is>
          <t>high</t>
        </is>
      </c>
      <c r="H17" s="17" t="inlineStr">
        <is>
          <t>high</t>
        </is>
      </c>
      <c r="I17" s="18" t="inlineStr">
        <is>
          <t>Instrumentar a captacao para medir comportamento (perda de contexto, dificuldade de proxima acao) e nao autodeclaracao de diagnostico.</t>
        </is>
      </c>
      <c r="J17" s="17" t="inlineStr">
        <is>
          <t>fact</t>
        </is>
      </c>
    </row>
    <row r="18">
      <c r="A18" s="17" t="inlineStr">
        <is>
          <t>RI-771e78fe33</t>
        </is>
      </c>
      <c r="B18" s="17" t="inlineStr">
        <is>
          <t>ECO-01</t>
        </is>
      </c>
      <c r="C18" s="17" t="inlineStr">
        <is>
          <t>SA-04A</t>
        </is>
      </c>
      <c r="D18" s="18" t="inlineStr">
        <is>
          <t>Ha tensao entre a segmentacao clinica do editorial e a segmentacao comportamental do produto.</t>
        </is>
      </c>
      <c r="E18" s="18" t="inlineStr">
        <is>
          <t>Editorial (QL-0018): publico e 'adultos com TDAH'. Produto (ICP-01): 'diagnostico nao define o ICP comercial inicial'. As duas convivem no mesmo funil de lancamento de 07/09.</t>
        </is>
      </c>
      <c r="F18" s="17" t="inlineStr">
        <is>
          <t>DOC-C07-007;DOC-C07-009;DOC-C12-005</t>
        </is>
      </c>
      <c r="G18" s="17" t="inlineStr">
        <is>
          <t>high</t>
        </is>
      </c>
      <c r="H18" s="17" t="inlineStr">
        <is>
          <t>high</t>
        </is>
      </c>
      <c r="I18" s="18" t="inlineStr">
        <is>
          <t>Decidir e registrar como o trafego editorial (TDAH) converte para uma oferta que nao usa TDAH como criterio, evitando promessa implicita de tratamento.</t>
        </is>
      </c>
      <c r="J18" s="17" t="inlineStr">
        <is>
          <t>conflict</t>
        </is>
      </c>
    </row>
    <row r="19">
      <c r="A19" s="17" t="inlineStr">
        <is>
          <t>RI-a6a1ca3dc0</t>
        </is>
      </c>
      <c r="B19" s="17" t="inlineStr">
        <is>
          <t>ECO-07</t>
        </is>
      </c>
      <c r="C19" s="17" t="inlineStr">
        <is>
          <t>SA-04A</t>
        </is>
      </c>
      <c r="D19" s="18" t="inlineStr">
        <is>
          <t>Nao ha definicao de segmento para os servicos alem de tres familias nao especificadas no acervo lido.</t>
        </is>
      </c>
      <c r="E19" s="18" t="inlineStr">
        <is>
          <t>DOC-C09-006 lista como pendencia 'tres familias de servico' e 'condicao de preco inicial'; DOC-C02-004 registra CONS-01/CONS-02 como CONCLUIDO, mas nenhum documento lido nomeia as tres familias.</t>
        </is>
      </c>
      <c r="F19" s="17" t="inlineStr">
        <is>
          <t>DOC-C09-006;DOC-C02-004;DOC-C12-006</t>
        </is>
      </c>
      <c r="G19" s="17" t="inlineStr">
        <is>
          <t>high</t>
        </is>
      </c>
      <c r="H19" s="17" t="inlineStr">
        <is>
          <t>high</t>
        </is>
      </c>
      <c r="I19" s="18" t="inlineStr">
        <is>
          <t>Recuperar ou redigir a especificacao das tres familias de servico antes de publicar PAG-002-SERVICOS.</t>
        </is>
      </c>
      <c r="J19" s="17" t="inlineStr">
        <is>
          <t>gap</t>
        </is>
      </c>
    </row>
    <row r="20">
      <c r="A20" s="17" t="inlineStr">
        <is>
          <t>RI-2da87b0b5f</t>
        </is>
      </c>
      <c r="B20" s="17" t="inlineStr">
        <is>
          <t>ECO-01</t>
        </is>
      </c>
      <c r="C20" s="17" t="inlineStr">
        <is>
          <t>SA-04B</t>
        </is>
      </c>
      <c r="D20" s="18" t="inlineStr">
        <is>
          <t>O ICP comercial a testar esta escrito de forma operacional e falseavel.</t>
        </is>
      </c>
      <c r="E20" s="18" t="inlineStr">
        <is>
          <t>Dashboard: 'Profissional independente/solo brasileiro, aproximadamente 25-44 anos, multiprojeto, que perde contexto, tem dificuldade recorrente para escolher proxima acao, ja tentou ferramentas de produtividade e controla/influencia a propria compra.'</t>
        </is>
      </c>
      <c r="F20" s="17" t="inlineStr">
        <is>
          <t>DOC-C07-009</t>
        </is>
      </c>
      <c r="G20" s="17" t="inlineStr">
        <is>
          <t>high</t>
        </is>
      </c>
      <c r="H20" s="17" t="inlineStr">
        <is>
          <t>high</t>
        </is>
      </c>
      <c r="I20" s="18" t="inlineStr">
        <is>
          <t>Converter cada clausula do ICP em pergunta de triagem do formulario de captacao FORM-002.</t>
        </is>
      </c>
      <c r="J20" s="17" t="inlineStr">
        <is>
          <t>fact</t>
        </is>
      </c>
    </row>
    <row r="21">
      <c r="A21" s="17" t="inlineStr">
        <is>
          <t>RI-5230c04efc</t>
        </is>
      </c>
      <c r="B21" s="17" t="inlineStr">
        <is>
          <t>ECO-01</t>
        </is>
      </c>
      <c r="C21" s="17" t="inlineStr">
        <is>
          <t>SA-04B</t>
        </is>
      </c>
      <c r="D21" s="18" t="inlineStr">
        <is>
          <t>O ICP permanece hipotese: nao ha validacao com clientes reais.</t>
        </is>
      </c>
      <c r="E21" s="18" t="inlineStr">
        <is>
          <t>gaps[0]: 'ICP comercial - HIPOTESE FORTE / TESTAVEL - closed: false - remaining: Validacao com clientes reais'; finding ICP-HYP-01 tem epistemic_class E e status HYPOTHESIS.</t>
        </is>
      </c>
      <c r="F21" s="17" t="inlineStr">
        <is>
          <t>DOC-C07-009</t>
        </is>
      </c>
      <c r="G21" s="17" t="inlineStr">
        <is>
          <t>high</t>
        </is>
      </c>
      <c r="H21" s="17" t="inlineStr">
        <is>
          <t>high</t>
        </is>
      </c>
      <c r="I21" s="18" t="inlineStr">
        <is>
          <t>Recrutar coorte comportamental no lancamento de 07/09 e medir ativacao, recorrencia, pagamento e renovacao (next_validation de ICP-01).</t>
        </is>
      </c>
      <c r="J21" s="17" t="inlineStr">
        <is>
          <t>fact</t>
        </is>
      </c>
    </row>
    <row r="22">
      <c r="A22" s="17" t="inlineStr">
        <is>
          <t>RI-701387c162</t>
        </is>
      </c>
      <c r="B22" s="17" t="inlineStr">
        <is>
          <t>ECO-02</t>
        </is>
      </c>
      <c r="C22" s="17" t="inlineStr">
        <is>
          <t>SA-04C</t>
        </is>
      </c>
      <c r="D22" s="18" t="inlineStr">
        <is>
          <t>O acervo formula oito enunciados de job em primeira pessoa que descrevem a distancia entre intencao e execucao.</t>
        </is>
      </c>
      <c r="E22" s="18" t="inlineStr">
        <is>
          <t>DOC-C01-005: 'Quero fazer, mas nao consigo iniciar. Comeco, mas nao consigo sustentar. Sei fazer, mas esqueco etapas... Entrego, mas atraves de urgencia, estresse e recuperacao posterior. Crio sistemas de produtividade, mas nao consigo mante-los.'</t>
        </is>
      </c>
      <c r="F22" s="17" t="inlineStr">
        <is>
          <t>DOC-C01-005;DOC-C03-002</t>
        </is>
      </c>
      <c r="G22" s="17" t="inlineStr">
        <is>
          <t>high</t>
        </is>
      </c>
      <c r="H22" s="17" t="inlineStr">
        <is>
          <t>high</t>
        </is>
      </c>
      <c r="I22" s="18" t="inlineStr">
        <is>
          <t>Usar os oito enunciados como titulos-semente do calendario editorial: cada um e um artigo com vulnerabilidade, demanda, falha e controle.</t>
        </is>
      </c>
      <c r="J22" s="17" t="inlineStr">
        <is>
          <t>fact</t>
        </is>
      </c>
    </row>
    <row r="23">
      <c r="A23" s="17" t="inlineStr">
        <is>
          <t>RI-5cd365e2ae</t>
        </is>
      </c>
      <c r="B23" s="17" t="inlineStr">
        <is>
          <t>ECO-01</t>
        </is>
      </c>
      <c r="C23" s="17" t="inlineStr">
        <is>
          <t>SA-04C</t>
        </is>
      </c>
      <c r="D23" s="18" t="inlineStr">
        <is>
          <t>O job funcional central e transformar contexto em proxima acao valida e preservar o estado do trabalho.</t>
        </is>
      </c>
      <c r="E23" s="18" t="inlineStr">
        <is>
          <t>positioning: 'Sistema de execucao para profissionais multiprojeto que transforma contexto em proxima acao e preserva o estado do trabalho'; VALUE_EVENT-01: 'Projeto real -&gt; contexto interpretado -&gt; proxima acao valida -&gt; acao executada -&gt; conclusao/evidencia registrada'.</t>
        </is>
      </c>
      <c r="F23" s="17" t="inlineStr">
        <is>
          <t>DOC-C07-009</t>
        </is>
      </c>
      <c r="G23" s="17" t="inlineStr">
        <is>
          <t>high</t>
        </is>
      </c>
      <c r="H23" s="17" t="inlineStr">
        <is>
          <t>high</t>
        </is>
      </c>
      <c r="I23" s="18" t="inlineStr">
        <is>
          <t>Instrumentar VALUE_EVENT-01 como evento unico de ativacao antes do lancamento; sem ele nao ha PMF mensuravel.</t>
        </is>
      </c>
      <c r="J23" s="17" t="inlineStr">
        <is>
          <t>fact</t>
        </is>
      </c>
    </row>
    <row r="24">
      <c r="A24" s="17" t="inlineStr">
        <is>
          <t>RI-f9fb2714be</t>
        </is>
      </c>
      <c r="B24" s="17" t="inlineStr">
        <is>
          <t>ECO-03</t>
        </is>
      </c>
      <c r="C24" s="17" t="inlineStr">
        <is>
          <t>SA-04C</t>
        </is>
      </c>
      <c r="D24" s="18" t="inlineStr">
        <is>
          <t>A matriz GP-01 a GP-11 mapeia onze jobs de gestao de projetos contra vulnerabilidades executivas e controles compensatorios.</t>
        </is>
      </c>
      <c r="E24" s="18" t="inlineStr">
        <is>
          <t>DOC-C07-003 traz 11 linhas com colunas Funcao / Capacidade exigida / Vulnerabilidade / Evidencia (B/C/E) / Impacto operacional / Compensacao sistemica / Decisao de produto, de 'Iniciacao e escopo' a 'Capacidade e forecasting'.</t>
        </is>
      </c>
      <c r="F24" s="17" t="inlineStr">
        <is>
          <t>DOC-C07-003;DOC-C07-002;DOC-C07-004</t>
        </is>
      </c>
      <c r="G24" s="17" t="inlineStr">
        <is>
          <t>high</t>
        </is>
      </c>
      <c r="H24" s="17" t="inlineStr">
        <is>
          <t>high</t>
        </is>
      </c>
      <c r="I24" s="18" t="inlineStr">
        <is>
          <t>Tratar a matriz como o artefato mais reutilizavel do acervo: ela serve simultaneamente a roadmap de produto, pauta editorial e escopo do framework.</t>
        </is>
      </c>
      <c r="J24" s="17" t="inlineStr">
        <is>
          <t>fact</t>
        </is>
      </c>
    </row>
    <row r="25">
      <c r="A25" s="17" t="inlineStr">
        <is>
          <t>RI-6e06e637d3</t>
        </is>
      </c>
      <c r="B25" s="17" t="inlineStr">
        <is>
          <t>ECO-03</t>
        </is>
      </c>
      <c r="C25" s="17" t="inlineStr">
        <is>
          <t>SA-04C</t>
        </is>
      </c>
      <c r="D25" s="18" t="inlineStr">
        <is>
          <t>O mecanismo de falha mais forte da matriz e o de execucao sustentada, classificado como evidencia B/C forte.</t>
        </is>
      </c>
      <c r="E25" s="18" t="inlineStr">
        <is>
          <t>GP-06: 'Competicao entre estimulos + duracao -&gt; abandono, fragmentacao ou multiplos trabalhos parcialmente abertos', evidencia 'B/C forte', compensacao 'Modo foco, WIP baixo, fila separada, captura de interrupcoes sem abandonar tarefa atual'.</t>
        </is>
      </c>
      <c r="F25" s="17" t="inlineStr">
        <is>
          <t>DOC-C07-003;DOC-C07-002</t>
        </is>
      </c>
      <c r="G25" s="17" t="inlineStr">
        <is>
          <t>high</t>
        </is>
      </c>
      <c r="H25" s="17" t="inlineStr">
        <is>
          <t>medium</t>
        </is>
      </c>
      <c r="I25" s="18" t="inlineStr">
        <is>
          <t>Priorizar WIP baixo e fila unica como feature de lancamento, por ser a linha com a evidencia mais forte da matriz.</t>
        </is>
      </c>
      <c r="J25" s="17" t="inlineStr">
        <is>
          <t>fact</t>
        </is>
      </c>
    </row>
    <row r="26">
      <c r="A26" s="17" t="inlineStr">
        <is>
          <t>RI-a7b1c80e86</t>
        </is>
      </c>
      <c r="B26" s="17" t="inlineStr">
        <is>
          <t>ECO-07</t>
        </is>
      </c>
      <c r="C26" s="17" t="inlineStr">
        <is>
          <t>SA-04C</t>
        </is>
      </c>
      <c r="D26" s="18" t="inlineStr">
        <is>
          <t>O job do cliente de servico e declarado como sair com um sistema funcionando em sete dias.</t>
        </is>
      </c>
      <c r="E26" s="18" t="inlineStr">
        <is>
          <t>DOC-C09-006: 'Traga o problema. Em 7 dias, saia com um sistema funcionando'; modelo '1 cliente por semana - 1 projeto - 1 entrega principal - 7 dias'.</t>
        </is>
      </c>
      <c r="F26" s="17" t="inlineStr">
        <is>
          <t>DOC-C09-006;DOC-C05-001</t>
        </is>
      </c>
      <c r="G26" s="17" t="inlineStr">
        <is>
          <t>high</t>
        </is>
      </c>
      <c r="H26" s="17" t="inlineStr">
        <is>
          <t>medium</t>
        </is>
      </c>
      <c r="I26" s="18" t="inlineStr">
        <is>
          <t>Manter a promessa de 7 dias como criterio de escopo: qualquer pedido que nao caiba em 7 dias vira outra oferta, nao excecao.</t>
        </is>
      </c>
      <c r="J26" s="17" t="inlineStr">
        <is>
          <t>fact</t>
        </is>
      </c>
    </row>
    <row r="27">
      <c r="A27" s="17" t="inlineStr">
        <is>
          <t>RI-4c494a600b</t>
        </is>
      </c>
      <c r="B27" s="17" t="inlineStr">
        <is>
          <t>ECO-01</t>
        </is>
      </c>
      <c r="C27" s="17" t="inlineStr">
        <is>
          <t>SA-04D</t>
        </is>
      </c>
      <c r="D27" s="18" t="inlineStr">
        <is>
          <t>Nao existe pesquisa primaria com clientes reais em nenhuma das quatro unidades.</t>
        </is>
      </c>
      <c r="E27" s="18" t="inlineStr">
        <is>
          <t>Dashboard: 'Strict VERIFIED 0'; gaps ICP/Preco/CAC/LTV/PMF/Eficacia todos com closed: false e remaining apontando para validacao com clientes/coorte real; a base tem 240 registros legados, sendo 142 de livro e 98 de documento interno.</t>
        </is>
      </c>
      <c r="F27" s="17" t="inlineStr">
        <is>
          <t>DOC-C07-009;DOC-C07-007</t>
        </is>
      </c>
      <c r="G27" s="17" t="inlineStr">
        <is>
          <t>high</t>
        </is>
      </c>
      <c r="H27" s="17" t="inlineStr">
        <is>
          <t>high</t>
        </is>
      </c>
      <c r="I27" s="18" t="inlineStr">
        <is>
          <t>Rodar 10-15 entrevistas com o ICP durante a campanha de lancamento; e o insumo mais barato e mais ausente do acervo.</t>
        </is>
      </c>
      <c r="J27" s="17" t="inlineStr">
        <is>
          <t>fact</t>
        </is>
      </c>
    </row>
    <row r="28">
      <c r="A28" s="17" t="inlineStr">
        <is>
          <t>RI-3bbf8d908f</t>
        </is>
      </c>
      <c r="B28" s="17" t="inlineStr">
        <is>
          <t>ECO-02</t>
        </is>
      </c>
      <c r="C28" s="17" t="inlineStr">
        <is>
          <t>SA-04D</t>
        </is>
      </c>
      <c r="D28" s="18" t="inlineStr">
        <is>
          <t>A dor moral (culpa e interpretacao de preguica) e registrada como agravante do problema funcional.</t>
        </is>
      </c>
      <c r="E28" s="18" t="inlineStr">
        <is>
          <t>QL-0020: 'Culpa e interpretacao de preguica agravam o problema funcional'; QL-0019: 'falha cronica de autorregulacao e funcao executiva, expressa por procrastinacao e abandono apesar de criatividade e hiperfoco'.</t>
        </is>
      </c>
      <c r="F28" s="17" t="inlineStr">
        <is>
          <t>DOC-C07-007</t>
        </is>
      </c>
      <c r="G28" s="17" t="inlineStr">
        <is>
          <t>high</t>
        </is>
      </c>
      <c r="H28" s="17" t="inlineStr">
        <is>
          <t>medium</t>
        </is>
      </c>
      <c r="I28" s="18" t="inlineStr">
        <is>
          <t>Manter o tom nao moralizante como regra editorial explicita; e o diferencial percebido mais barato de sustentar.</t>
        </is>
      </c>
      <c r="J28" s="17" t="inlineStr">
        <is>
          <t>fact</t>
        </is>
      </c>
    </row>
    <row r="29">
      <c r="A29" s="17" t="inlineStr">
        <is>
          <t>RI-205381c560</t>
        </is>
      </c>
      <c r="B29" s="17" t="inlineStr">
        <is>
          <t>ECO-03</t>
        </is>
      </c>
      <c r="C29" s="17" t="inlineStr">
        <is>
          <t>SA-05</t>
        </is>
      </c>
      <c r="D29" s="18" t="inlineStr">
        <is>
          <t>O termo cognitive risk ja possui anterioridade publicada, e o acervo registra isso explicitamente.</t>
        </is>
      </c>
      <c r="E29" s="18" t="inlineStr">
        <is>
          <t>RC-TERM-007 aponta o livro 'Cognitive Risk' (Bone &amp; Lee, Routledge) e RC-TERM-008 o capitulo 'Managing Cognitive Risk' (Emerald) como STATUS ANTERIORIDADE; guardrail: 'Nao reivindicar autoria do termo'.</t>
        </is>
      </c>
      <c r="F29" s="17" t="inlineStr">
        <is>
          <t>DOC-C02-030;DOC-C02-022</t>
        </is>
      </c>
      <c r="G29" s="17" t="inlineStr">
        <is>
          <t>high</t>
        </is>
      </c>
      <c r="H29" s="17" t="inlineStr">
        <is>
          <t>high</t>
        </is>
      </c>
      <c r="I29" s="18" t="inlineStr">
        <is>
          <t>Publicar o mapa de anterioridade junto com o framework; e o que separa contribuicao defensavel de reivindicacao fragil.</t>
        </is>
      </c>
      <c r="J29" s="17" t="inlineStr">
        <is>
          <t>fact</t>
        </is>
      </c>
    </row>
    <row r="30">
      <c r="A30" s="17" t="inlineStr">
        <is>
          <t>RI-c2c3f5ed9a</t>
        </is>
      </c>
      <c r="B30" s="17" t="inlineStr">
        <is>
          <t>ECO-03</t>
        </is>
      </c>
      <c r="C30" s="17" t="inlineStr">
        <is>
          <t>SA-05</t>
        </is>
      </c>
      <c r="D30" s="18" t="inlineStr">
        <is>
          <t>O whitespace declarado e a integracao perfil executivo -&gt; demanda cognitiva -&gt; falha -&gt; probabilidade/impacto -&gt; controle -&gt; evidencia, aplicada a projetos e neurodivergencia.</t>
        </is>
      </c>
      <c r="E30" s="18" t="inlineStr">
        <is>
          <t>DOC-C02-031, item 3: 'Nao foi identificado, nesta rodada, um framework consolidado que una explicitamente: perfil executivo individual -&gt; demanda cognitiva da tarefa -&gt; evento provavel de falha -&gt; probabilidade/impacto -&gt; controle compensatorio -&gt; evidencia de execucao'.</t>
        </is>
      </c>
      <c r="F30" s="17" t="inlineStr">
        <is>
          <t>DOC-C02-031;DOC-C02-016</t>
        </is>
      </c>
      <c r="G30" s="17" t="inlineStr">
        <is>
          <t>high</t>
        </is>
      </c>
      <c r="H30" s="17" t="inlineStr">
        <is>
          <t>high</t>
        </is>
      </c>
      <c r="I30" s="18" t="inlineStr">
        <is>
          <t>Manter a formulacao literal como definicao da contribuicao; ela e especifica o bastante para ser testada e defendida.</t>
        </is>
      </c>
      <c r="J30" s="17" t="inlineStr">
        <is>
          <t>fact</t>
        </is>
      </c>
    </row>
    <row r="31">
      <c r="A31" s="17" t="inlineStr">
        <is>
          <t>RI-67a737f0b4</t>
        </is>
      </c>
      <c r="B31" s="17" t="inlineStr">
        <is>
          <t>ECO-03</t>
        </is>
      </c>
      <c r="C31" s="17" t="inlineStr">
        <is>
          <t>SA-05</t>
        </is>
      </c>
      <c r="D31" s="18" t="inlineStr">
        <is>
          <t>Tratar a ausencia de framework equivalente como prova de ineditismo e registrado como risco de credibilidade pelo proprio acervo.</t>
        </is>
      </c>
      <c r="E31" s="18" t="inlineStr">
        <is>
          <t>DOC-C02-031, item 4: 'Nao encontramos nao significa nao existe'; DOC-C02-039 (Riscos): 'Tratar a ausencia de um framework equivalente nas buscas como prova de ineditismo pode comprometer a credibilidade cientifica e estrategica da proposta'.</t>
        </is>
      </c>
      <c r="F31" s="17" t="inlineStr">
        <is>
          <t>DOC-C02-031;DOC-C02-039;DOC-C02-043</t>
        </is>
      </c>
      <c r="G31" s="17" t="inlineStr">
        <is>
          <t>high</t>
        </is>
      </c>
      <c r="H31" s="17" t="inlineStr">
        <is>
          <t>high</t>
        </is>
      </c>
      <c r="I31" s="18" t="inlineStr">
        <is>
          <t>Executar a scoping review sistematica (RC-P02-VAL01, etapa 1) antes de qualquer comunicacao publica de ineditismo.</t>
        </is>
      </c>
      <c r="J31" s="17" t="inlineStr">
        <is>
          <t>fact</t>
        </is>
      </c>
    </row>
    <row r="32">
      <c r="A32" s="17" t="inlineStr">
        <is>
          <t>RI-bc73815278</t>
        </is>
      </c>
      <c r="B32" s="17" t="inlineStr">
        <is>
          <t>ECO-02</t>
        </is>
      </c>
      <c r="C32" s="17" t="inlineStr">
        <is>
          <t>SA-05</t>
        </is>
      </c>
      <c r="D32" s="18" t="inlineStr">
        <is>
          <t>A lacuna competitiva hipotetizada e que concorrentes seriam fortes em sintomas e medicacao e fracos em aplicacao pratica.</t>
        </is>
      </c>
      <c r="E32" s="18" t="inlineStr">
        <is>
          <t>QL-0026: 'Concorrentes seriam mais fortes em sintomas e medicacao do que em aplicacao pratica e desempenho'; recomendacao da propria fonte: 'Validar a lacuna por auditoria de conteudo e entrevistas, antes de assumir oceano azul'.</t>
        </is>
      </c>
      <c r="F32" s="17" t="inlineStr">
        <is>
          <t>DOC-C07-007</t>
        </is>
      </c>
      <c r="G32" s="17" t="inlineStr">
        <is>
          <t>high</t>
        </is>
      </c>
      <c r="H32" s="17" t="inlineStr">
        <is>
          <t>medium</t>
        </is>
      </c>
      <c r="I32" s="18" t="inlineStr">
        <is>
          <t>Fazer auditoria de 20 conteudos concorrentes classificando por Entender/Estruturar/Executar/Evoluir para confirmar ou derrubar a hipotese.</t>
        </is>
      </c>
      <c r="J32" s="17" t="inlineStr">
        <is>
          <t>hypothesis</t>
        </is>
      </c>
    </row>
    <row r="33">
      <c r="A33" s="17" t="inlineStr">
        <is>
          <t>RI-fcfb1848da</t>
        </is>
      </c>
      <c r="B33" s="17" t="inlineStr">
        <is>
          <t>ECO-01</t>
        </is>
      </c>
      <c r="C33" s="17" t="inlineStr">
        <is>
          <t>SA-06A</t>
        </is>
      </c>
      <c r="D33" s="18" t="inlineStr">
        <is>
          <t>O ecossistema declara seis fontes de receita distintas ligadas por um registro unico de CTAs.</t>
        </is>
      </c>
      <c r="E33" s="18" t="inlineStr">
        <is>
          <t>CTA Registry (DOC-C06-001): CTA-001 App, CTA-004 E-book, CTA-005 Curso, CTA-006 Studio (servico), CTA-007 Amazon Affiliate, CTA-009 Office Kit (fisico), alem de CTA-003 Biblioteca e CTA-008/010 captacao de lead.</t>
        </is>
      </c>
      <c r="F33" s="17" t="inlineStr">
        <is>
          <t>DOC-C06-001;DOC-C05-001</t>
        </is>
      </c>
      <c r="G33" s="17" t="inlineStr">
        <is>
          <t>high</t>
        </is>
      </c>
      <c r="H33" s="17" t="inlineStr">
        <is>
          <t>high</t>
        </is>
      </c>
      <c r="I33" s="18" t="inlineStr">
        <is>
          <t>Antes de 07/09, marcar quais dos 10 CTAs tem destino real e quais devem ser desligados; um CTA sem destino queima trafego de lancamento.</t>
        </is>
      </c>
      <c r="J33" s="17" t="inlineStr">
        <is>
          <t>fact</t>
        </is>
      </c>
    </row>
    <row r="34">
      <c r="A34" s="17" t="inlineStr">
        <is>
          <t>RI-e8aac19797</t>
        </is>
      </c>
      <c r="B34" s="17" t="inlineStr">
        <is>
          <t>ECO-02</t>
        </is>
      </c>
      <c r="C34" s="17" t="inlineStr">
        <is>
          <t>SA-06A</t>
        </is>
      </c>
      <c r="D34" s="18" t="inlineStr">
        <is>
          <t>Ha conflito registrado sobre a alocacao da receita de AdSense ao braco social.</t>
        </is>
      </c>
      <c r="E34" s="18" t="inlineStr">
        <is>
          <t>QT-0152: 'Alocacao de AdSense inicialmente cogitada 70,0% da receita'; QT-0153: 'Alocacao inicial recomendada 10,0%'; QL-0016: '70% ... e considerada incompativel com reinvestimento e consistencia operacional'.</t>
        </is>
      </c>
      <c r="F34" s="17" t="inlineStr">
        <is>
          <t>DOC-C07-007;DOC-C07-009</t>
        </is>
      </c>
      <c r="G34" s="17" t="inlineStr">
        <is>
          <t>medium</t>
        </is>
      </c>
      <c r="H34" s="17" t="inlineStr">
        <is>
          <t>low</t>
        </is>
      </c>
      <c r="I34" s="18" t="inlineStr">
        <is>
          <t>Registrar formalmente a decisao (10%) e o motivo, para que a versao de 70% nao volte por copia de material antigo.</t>
        </is>
      </c>
      <c r="J34" s="17" t="inlineStr">
        <is>
          <t>conflict</t>
        </is>
      </c>
    </row>
    <row r="35">
      <c r="A35" s="17" t="inlineStr">
        <is>
          <t>RI-e52ff30b13</t>
        </is>
      </c>
      <c r="B35" s="17" t="inlineStr">
        <is>
          <t>ECO-01</t>
        </is>
      </c>
      <c r="C35" s="17" t="inlineStr">
        <is>
          <t>SA-06B</t>
        </is>
      </c>
      <c r="D35" s="18" t="inlineStr">
        <is>
          <t>O modelo economico do app e integralmente hipotetico: ARPU, margem e churn sao premissas, nao observacoes.</t>
        </is>
      </c>
      <c r="E35" s="18" t="inlineStr">
        <is>
          <t>unit_economics.status: 'MODEL_HYPOTHESIS_NOT_OBSERVED'; cenarios: churn 10%/15%/20% -&gt; LTV R$424 / R$282,77 / R$212 e CAC maximo para LTV:CAC=3 de R$141 / R$94 / R$71, com ARPU R$49,90 e margem bruta 85%.</t>
        </is>
      </c>
      <c r="F35" s="17" t="inlineStr">
        <is>
          <t>DOC-C07-009</t>
        </is>
      </c>
      <c r="G35" s="17" t="inlineStr">
        <is>
          <t>high</t>
        </is>
      </c>
      <c r="H35" s="17" t="inlineStr">
        <is>
          <t>high</t>
        </is>
      </c>
      <c r="I35" s="18" t="inlineStr">
        <is>
          <t>Nao usar LTV de R$282,77 em nenhuma decisao de investimento; substituir por LTV_30/60/90/180/365 assim que houver coorte paga.</t>
        </is>
      </c>
      <c r="J35" s="17" t="inlineStr">
        <is>
          <t>fact</t>
        </is>
      </c>
    </row>
    <row r="36">
      <c r="A36" s="17" t="inlineStr">
        <is>
          <t>RI-9ca36f63ce</t>
        </is>
      </c>
      <c r="B36" s="17" t="inlineStr">
        <is>
          <t>ECO-01</t>
        </is>
      </c>
      <c r="C36" s="17" t="inlineStr">
        <is>
          <t>SA-06B</t>
        </is>
      </c>
      <c r="D36" s="18" t="inlineStr">
        <is>
          <t>O guardrail de CAC e R$70 (conservador) com alerta em aproximadamente R$95, e a fonte distingue CAC de metricas intermediarias.</t>
        </is>
      </c>
      <c r="E36" s="18" t="inlineStr">
        <is>
          <t>Decisao CAC-01 e painel: 'CAC observado = gasto atribuivel / novos clientes pagantes. CPI, CPM, clique e cadastro nao substituem CAC.'</t>
        </is>
      </c>
      <c r="F36" s="17" t="inlineStr">
        <is>
          <t>DOC-C07-009</t>
        </is>
      </c>
      <c r="G36" s="17" t="inlineStr">
        <is>
          <t>high</t>
        </is>
      </c>
      <c r="H36" s="17" t="inlineStr">
        <is>
          <t>high</t>
        </is>
      </c>
      <c r="I36" s="18" t="inlineStr">
        <is>
          <t>Implementar os eventos de telemetria acquisition_source, campaign_id, paid_at e gross_revenue antes da primeira campanha paga.</t>
        </is>
      </c>
      <c r="J36" s="17" t="inlineStr">
        <is>
          <t>fact</t>
        </is>
      </c>
    </row>
    <row r="37">
      <c r="A37" s="17" t="inlineStr">
        <is>
          <t>RI-3d2947cefd</t>
        </is>
      </c>
      <c r="B37" s="17" t="inlineStr">
        <is>
          <t>ECO-01</t>
        </is>
      </c>
      <c r="C37" s="17" t="inlineStr">
        <is>
          <t>SA-06B</t>
        </is>
      </c>
      <c r="D37" s="18" t="inlineStr">
        <is>
          <t>O preco e um experimento declarado, nao uma tabela: R$29,90 / R$49,90 / R$79,90 mensais e R$299 / R$499 / R$799 anuais.</t>
        </is>
      </c>
      <c r="E37" s="18" t="inlineStr">
        <is>
          <t>research.pricing: monthly_branches_brl [29.9, 49.9, 79.9], annual_branches_brl [299, 499, 799], central_test_price_brl 49.9, status 'HYPOTHESIS_TO_TEST'; painel: 'Preco canonico ainda nao existe'.</t>
        </is>
      </c>
      <c r="F37" s="17" t="inlineStr">
        <is>
          <t>DOC-C07-009</t>
        </is>
      </c>
      <c r="G37" s="17" t="inlineStr">
        <is>
          <t>high</t>
        </is>
      </c>
      <c r="H37" s="17" t="inlineStr">
        <is>
          <t>high</t>
        </is>
      </c>
      <c r="I37" s="18" t="inlineStr">
        <is>
          <t>Publicar apenas o ponto central R$49,90 no lancamento e reservar as pontas para teste, evitando ancoragem publica de tres precos.</t>
        </is>
      </c>
      <c r="J37" s="17" t="inlineStr">
        <is>
          <t>fact</t>
        </is>
      </c>
    </row>
    <row r="38">
      <c r="A38" s="17" t="inlineStr">
        <is>
          <t>RI-6137dc836c</t>
        </is>
      </c>
      <c r="B38" s="17" t="inlineStr">
        <is>
          <t>ECO-07</t>
        </is>
      </c>
      <c r="C38" s="17" t="inlineStr">
        <is>
          <t>SA-06B</t>
        </is>
      </c>
      <c r="D38" s="18" t="inlineStr">
        <is>
          <t>O servico tem preco declarado de R$700 por projeto de uma semana, com capacidade de um cliente por semana.</t>
        </is>
      </c>
      <c r="E38" s="18" t="inlineStr">
        <is>
          <t>DOC-C05-001: 'Preco: Um projeto, uma entrega, uma semana: R$ 700,00'; 'Capacidade e escassez: Limite de um cliente por semana, apresentado como diferencial do servico'.</t>
        </is>
      </c>
      <c r="F38" s="17" t="inlineStr">
        <is>
          <t>DOC-C05-001;DOC-C09-006</t>
        </is>
      </c>
      <c r="G38" s="17" t="inlineStr">
        <is>
          <t>high</t>
        </is>
      </c>
      <c r="H38" s="17" t="inlineStr">
        <is>
          <t>high</t>
        </is>
      </c>
      <c r="I38" s="18" t="inlineStr">
        <is>
          <t>Confirmar se R$700 e preco de portfolio ou preco-alvo; a pagina PAG-003-ESTUDIO nao pode ir ao ar com essa ambiguidade.</t>
        </is>
      </c>
      <c r="J38" s="17" t="inlineStr">
        <is>
          <t>fact</t>
        </is>
      </c>
    </row>
    <row r="39">
      <c r="A39" s="17" t="inlineStr">
        <is>
          <t>RI-a96eb3ba9b</t>
        </is>
      </c>
      <c r="B39" s="17" t="inlineStr">
        <is>
          <t>ECO-07</t>
        </is>
      </c>
      <c r="C39" s="17" t="inlineStr">
        <is>
          <t>SA-06B</t>
        </is>
      </c>
      <c r="D39" s="18" t="inlineStr">
        <is>
          <t>Com R$700 por semana e um cliente por semana, o teto teorico de receita do Estudio e cerca de R$36,4 mil por ano.</t>
        </is>
      </c>
      <c r="E39" s="18" t="inlineStr">
        <is>
          <t>Derivacao aritmetica direta de DOC-C05-001: R$700 x 52 semanas = R$36.400/ano, ignorando ferias, semanas sem cliente e os primeiros clientes atendidos sem cobranca.</t>
        </is>
      </c>
      <c r="F39" s="17" t="inlineStr">
        <is>
          <t>DOC-C05-001</t>
        </is>
      </c>
      <c r="G39" s="17" t="inlineStr">
        <is>
          <t>high</t>
        </is>
      </c>
      <c r="H39" s="17" t="inlineStr">
        <is>
          <t>high</t>
        </is>
      </c>
      <c r="I39" s="18" t="inlineStr">
        <is>
          <t>Se o Estudio precisa ser motor de receita, o preco ou o modelo de capacidade precisa mudar; se e motor de portfolio e autoridade, declarar isso e nao cobrar meta de receita dele.</t>
        </is>
      </c>
      <c r="J39" s="17" t="inlineStr">
        <is>
          <t>inference</t>
        </is>
      </c>
    </row>
    <row r="40">
      <c r="A40" s="17" t="inlineStr">
        <is>
          <t>RI-fe9416ac53</t>
        </is>
      </c>
      <c r="B40" s="17" t="inlineStr">
        <is>
          <t>ECO-01</t>
        </is>
      </c>
      <c r="C40" s="17" t="inlineStr">
        <is>
          <t>SA-06B</t>
        </is>
      </c>
      <c r="D40" s="18" t="inlineStr">
        <is>
          <t>O custo variavel de IA e reconhecido como evento a medir, mas nao ha nenhum valor estimado no acervo.</t>
        </is>
      </c>
      <c r="E40" s="18" t="inlineStr">
        <is>
          <t>telemetry.required_events inclui 'variable_ai_cost', porem nenhum documento lido apresenta custo por usuario, por execucao ou por token.</t>
        </is>
      </c>
      <c r="F40" s="17" t="inlineStr">
        <is>
          <t>DOC-C07-009</t>
        </is>
      </c>
      <c r="G40" s="17" t="inlineStr">
        <is>
          <t>high</t>
        </is>
      </c>
      <c r="H40" s="17" t="inlineStr">
        <is>
          <t>high</t>
        </is>
      </c>
      <c r="I40" s="18" t="inlineStr">
        <is>
          <t>Estimar custo variavel por usuario ativo antes de fixar R$49,90; com margem premissa de 85%, o custo de IA e a variavel que pode derrubar o modelo.</t>
        </is>
      </c>
      <c r="J40" s="17" t="inlineStr">
        <is>
          <t>gap</t>
        </is>
      </c>
    </row>
    <row r="41">
      <c r="A41" s="17" t="inlineStr">
        <is>
          <t>RI-1c1375b700</t>
        </is>
      </c>
      <c r="B41" s="17" t="inlineStr">
        <is>
          <t>ECO-02</t>
        </is>
      </c>
      <c r="C41" s="17" t="inlineStr">
        <is>
          <t>SA-07A</t>
        </is>
      </c>
      <c r="D41" s="18" t="inlineStr">
        <is>
          <t>A cadeia editorial e de derivacao 1 para N a partir de um conteudo canonico.</t>
        </is>
      </c>
      <c r="E41" s="18" t="inlineStr">
        <is>
          <t>DOC-C10-003: 'Artigo canonico -&gt; imagem principal -&gt; diagramas -&gt; video -&gt; cortes curtos -&gt; carrossel/post -&gt; chamada -&gt; agenda'; DOC-C02-043 registra 'produzir tudo por derivacao 1-&gt;N, comecando pelo artigo mestre'.</t>
        </is>
      </c>
      <c r="F41" s="17" t="inlineStr">
        <is>
          <t>DOC-C10-003;DOC-C02-043;DOC-C02-014</t>
        </is>
      </c>
      <c r="G41" s="17" t="inlineStr">
        <is>
          <t>high</t>
        </is>
      </c>
      <c r="H41" s="17" t="inlineStr">
        <is>
          <t>medium</t>
        </is>
      </c>
      <c r="I41" s="18" t="inlineStr">
        <is>
          <t>Manter a regra de nao iniciar derivados antes do canonico estar fechado; e o que protege as 60h comprometidas do GTM.</t>
        </is>
      </c>
      <c r="J41" s="17" t="inlineStr">
        <is>
          <t>fact</t>
        </is>
      </c>
    </row>
    <row r="42">
      <c r="A42" s="17" t="inlineStr">
        <is>
          <t>RI-382ff1b6cd</t>
        </is>
      </c>
      <c r="B42" s="17" t="inlineStr">
        <is>
          <t>ECO-01</t>
        </is>
      </c>
      <c r="C42" s="17" t="inlineStr">
        <is>
          <t>SA-07A</t>
        </is>
      </c>
      <c r="D42" s="18" t="inlineStr">
        <is>
          <t>A cadeia de entrega do lancamento e definida como pacote fechado com dez elos obrigatorios.</t>
        </is>
      </c>
      <c r="E42" s="18" t="inlineStr">
        <is>
          <t>DOC-C06-001: 'conteudo -&gt; assets -&gt; CTA -&gt; brinde -&gt; destino -&gt; CMS -&gt; distribuicao -&gt; agendamento -&gt; tracking -&gt; evidencia = DONE'; regra de ouro: 'Nenhum output produzido pode ficar orfao'.</t>
        </is>
      </c>
      <c r="F42" s="17" t="inlineStr">
        <is>
          <t>DOC-C06-001;DOC-C08-003</t>
        </is>
      </c>
      <c r="G42" s="17" t="inlineStr">
        <is>
          <t>high</t>
        </is>
      </c>
      <c r="H42" s="17" t="inlineStr">
        <is>
          <t>high</t>
        </is>
      </c>
      <c r="I42" s="18" t="inlineStr">
        <is>
          <t>Usar a cadeia como unica definicao de pronto; 'texto terminado' ou 'video pronto' nao pode aparecer como progresso no painel.</t>
        </is>
      </c>
      <c r="J42" s="17" t="inlineStr">
        <is>
          <t>fact</t>
        </is>
      </c>
    </row>
    <row r="43">
      <c r="A43" s="17" t="inlineStr">
        <is>
          <t>RI-c54f534ecf</t>
        </is>
      </c>
      <c r="B43" s="17" t="inlineStr">
        <is>
          <t>ECO-07</t>
        </is>
      </c>
      <c r="C43" s="17" t="inlineStr">
        <is>
          <t>SA-07A</t>
        </is>
      </c>
      <c r="D43" s="18" t="inlineStr">
        <is>
          <t>A cadeia de servico tem nove etapas em aproximadamente sete dias, do formulario ao pos-entrega.</t>
        </is>
      </c>
      <c r="E43" s="18" t="inlineStr">
        <is>
          <t>DOC-C05-001: 'Jornada de aproximadamente sete dias, com formulario inicial, consulta extensa, desenvolvimento, prototipo, teste, refinamento, entrega, onboarding e periodo posterior para duvidas'.</t>
        </is>
      </c>
      <c r="F43" s="17" t="inlineStr">
        <is>
          <t>DOC-C05-001;DOC-C11-010;DOC-C12-003</t>
        </is>
      </c>
      <c r="G43" s="17" t="inlineStr">
        <is>
          <t>high</t>
        </is>
      </c>
      <c r="H43" s="17" t="inlineStr">
        <is>
          <t>medium</t>
        </is>
      </c>
      <c r="I43" s="18" t="inlineStr">
        <is>
          <t>Cronometrar as nove etapas no primeiro cliente real; nove etapas em sete dias e o principal risco de sobrecompromisso do Estudio.</t>
        </is>
      </c>
      <c r="J43" s="17" t="inlineStr">
        <is>
          <t>fact</t>
        </is>
      </c>
    </row>
    <row r="44">
      <c r="A44" s="17" t="inlineStr">
        <is>
          <t>RI-34d4ae16a9</t>
        </is>
      </c>
      <c r="B44" s="17" t="inlineStr">
        <is>
          <t>ECO-01</t>
        </is>
      </c>
      <c r="C44" s="17" t="inlineStr">
        <is>
          <t>SA-07A</t>
        </is>
      </c>
      <c r="D44" s="18" t="inlineStr">
        <is>
          <t>O ecossistema e desenhado como ciclo em que o proprio produto serve de showroom da capacidade de servico.</t>
        </is>
      </c>
      <c r="E44" s="18" t="inlineStr">
        <is>
          <t>DOC-C05-001: 'Autoridade pessoal -&gt; Conteudo -&gt; Produtos -&gt; Demonstracao pratica -&gt; Servico -&gt; Cliente -&gt; Caso real -&gt; Portfolio -&gt; Mais autoridade'; e 'o Executar nao e apenas um produto... funciona simultaneamente como produto, laboratorio, prova de competencia, showroom e principal ativo de autoridade comercial'.</t>
        </is>
      </c>
      <c r="F44" s="17" t="inlineStr">
        <is>
          <t>DOC-C05-001</t>
        </is>
      </c>
      <c r="G44" s="17" t="inlineStr">
        <is>
          <t>high</t>
        </is>
      </c>
      <c r="H44" s="17" t="inlineStr">
        <is>
          <t>medium</t>
        </is>
      </c>
      <c r="I44" s="18" t="inlineStr">
        <is>
          <t>Explorar o loop deliberadamente: cada release do app deve gerar um ativo de demonstracao reutilizavel pelo Estudio.</t>
        </is>
      </c>
      <c r="J44" s="17" t="inlineStr">
        <is>
          <t>fact</t>
        </is>
      </c>
    </row>
    <row r="45">
      <c r="A45" s="17" t="inlineStr">
        <is>
          <t>RI-3569156506</t>
        </is>
      </c>
      <c r="B45" s="17" t="inlineStr">
        <is>
          <t>ECO-02</t>
        </is>
      </c>
      <c r="C45" s="17" t="inlineStr">
        <is>
          <t>SA-07A</t>
        </is>
      </c>
      <c r="D45" s="18" t="inlineStr">
        <is>
          <t>A infraestrutura editorial esta definida e tem criterio de aceite operacional, nao tecnico.</t>
        </is>
      </c>
      <c r="E45" s="18" t="inlineStr">
        <is>
          <t>DOC-C02-017: 'Vercel Payload Website Starter + Next.js + Payload CMS + PostgreSQL/Neon + Vercel Blob'; DoD: 'Abrir /admin -&gt; criar artigo -&gt; ... -&gt; publicar, sem editar codigo'.</t>
        </is>
      </c>
      <c r="F45" s="17" t="inlineStr">
        <is>
          <t>DOC-C02-017;DOC-C02-043</t>
        </is>
      </c>
      <c r="G45" s="17" t="inlineStr">
        <is>
          <t>high</t>
        </is>
      </c>
      <c r="H45" s="17" t="inlineStr">
        <is>
          <t>high</t>
        </is>
      </c>
      <c r="I45" s="18" t="inlineStr">
        <is>
          <t>Validar o DoD com uma publicacao de teste ponta a ponta antes do D1 editorial; sem isso a campanha de 14 dias nao pode comecar.</t>
        </is>
      </c>
      <c r="J45" s="17" t="inlineStr">
        <is>
          <t>fact</t>
        </is>
      </c>
    </row>
    <row r="46">
      <c r="A46" s="17" t="inlineStr">
        <is>
          <t>RI-a391b30088</t>
        </is>
      </c>
      <c r="B46" s="17" t="inlineStr">
        <is>
          <t>ECO-01</t>
        </is>
      </c>
      <c r="C46" s="17" t="inlineStr">
        <is>
          <t>SA-07B</t>
        </is>
      </c>
      <c r="D46" s="18" t="inlineStr">
        <is>
          <t>A capacidade de engenharia esta comprovada por estado real de repositorio, nao por declaracao.</t>
        </is>
      </c>
      <c r="E46" s="18" t="inlineStr">
        <is>
          <t>DOC-C04-002: 'HEAD de main: 4c8f360 (merge do PR #77)... typecheck limpo... 51/51 vitest passando... 347/347 testes de governanca... CI 3/3 checks verdes em cada um dos PRs mesclados'; handoff gerado 'a partir do estado real do repositorio (git log + GitHub API)'.</t>
        </is>
      </c>
      <c r="F46" s="17" t="inlineStr">
        <is>
          <t>DOC-C04-002</t>
        </is>
      </c>
      <c r="G46" s="17" t="inlineStr">
        <is>
          <t>high</t>
        </is>
      </c>
      <c r="H46" s="17" t="inlineStr">
        <is>
          <t>medium</t>
        </is>
      </c>
      <c r="I46" s="18" t="inlineStr">
        <is>
          <t>Usar o handoff como prova de capacidade nas pecas do Estudio; e a evidencia mais forte de competencia tecnica do acervo.</t>
        </is>
      </c>
      <c r="J46" s="17" t="inlineStr">
        <is>
          <t>fact</t>
        </is>
      </c>
    </row>
    <row r="47">
      <c r="A47" s="17" t="inlineStr">
        <is>
          <t>RI-ae791c9190</t>
        </is>
      </c>
      <c r="B47" s="17" t="inlineStr">
        <is>
          <t>ECO-01</t>
        </is>
      </c>
      <c r="C47" s="17" t="inlineStr">
        <is>
          <t>SA-07B</t>
        </is>
      </c>
      <c r="D47" s="18" t="inlineStr">
        <is>
          <t>O diferencial declarado e arquitetural: plano estavel com rota recalculada, nao uma feature isolada.</t>
        </is>
      </c>
      <c r="E47" s="18" t="inlineStr">
        <is>
          <t>DOC-C05-001: 'Tempo disponivel, dependencias, WIP e ciclo definem elegibilidade; Flow Score e Context Score ordenam as alternativas; Progress Points registram somente o trabalho efetivamente concluido'; 'PLAN != ROUTE / ROUTE subconjunto de PLAN'; mensagem: 'O plano continua. A rota se adapta. Voce executa.'</t>
        </is>
      </c>
      <c r="F47" s="17" t="inlineStr">
        <is>
          <t>DOC-C05-001</t>
        </is>
      </c>
      <c r="G47" s="17" t="inlineStr">
        <is>
          <t>high</t>
        </is>
      </c>
      <c r="H47" s="17" t="inlineStr">
        <is>
          <t>high</t>
        </is>
      </c>
      <c r="I47" s="18" t="inlineStr">
        <is>
          <t>Demonstrar o recalculo de rota ao vivo (Cena B da DOC-C11-004) - e a unica prova visual do diferencial que nao pode ser copiada em copy.</t>
        </is>
      </c>
      <c r="J47" s="17" t="inlineStr">
        <is>
          <t>fact</t>
        </is>
      </c>
    </row>
    <row r="48">
      <c r="A48" s="17" t="inlineStr">
        <is>
          <t>RI-1a8ce4dc11</t>
        </is>
      </c>
      <c r="B48" s="17" t="inlineStr">
        <is>
          <t>ECO-01</t>
        </is>
      </c>
      <c r="C48" s="17" t="inlineStr">
        <is>
          <t>SA-07B</t>
        </is>
      </c>
      <c r="D48" s="18" t="inlineStr">
        <is>
          <t>Existe uma capacidade rara no acervo: governanca epistemologica que separa candidato de verificado.</t>
        </is>
      </c>
      <c r="E48" s="18" t="inlineStr">
        <is>
          <t>DOC-C07-009, invariantes: 'original != extracao != evidencia != decisao - candidate != verified - benchmark != dado do EXECUTAR - modelo economico != unit economics observado - literatura externa != eficacia do EXECUTAR - similaridade != suporte factual'.</t>
        </is>
      </c>
      <c r="F48" s="17" t="inlineStr">
        <is>
          <t>DOC-C07-009;DOC-C07-007</t>
        </is>
      </c>
      <c r="G48" s="17" t="inlineStr">
        <is>
          <t>high</t>
        </is>
      </c>
      <c r="H48" s="17" t="inlineStr">
        <is>
          <t>medium</t>
        </is>
      </c>
      <c r="I48" s="18" t="inlineStr">
        <is>
          <t>Transformar a governanca em ativo publico (pagina de metodo): ela e um diferencial defensavel frente a concorrentes de infoproduto.</t>
        </is>
      </c>
      <c r="J48" s="17" t="inlineStr">
        <is>
          <t>fact</t>
        </is>
      </c>
    </row>
    <row r="49">
      <c r="A49" s="17" t="inlineStr">
        <is>
          <t>RI-93840f0057</t>
        </is>
      </c>
      <c r="B49" s="17" t="inlineStr">
        <is>
          <t>ECO-03</t>
        </is>
      </c>
      <c r="C49" s="17" t="inlineStr">
        <is>
          <t>SA-07B</t>
        </is>
      </c>
      <c r="D49" s="18" t="inlineStr">
        <is>
          <t>O framework CERM tem cinco componentes provisorios e uma arquitetura de sete elos.</t>
        </is>
      </c>
      <c r="E49" s="18" t="inlineStr">
        <is>
          <t>DOC-C02-016: arquitetura 'Perfil executivo -&gt; demanda cognitiva -&gt; risco de execucao -&gt; impacto/probabilidade -&gt; controle compensatorio -&gt; monitoramento -&gt; evidencia/feedback'; componentes: Cognitive Risk Profile, Cognitive Demand Map, Cognitive Risk Register, Compensating Controls, Execution Evidence.</t>
        </is>
      </c>
      <c r="F49" s="17" t="inlineStr">
        <is>
          <t>DOC-C02-016;DOC-C02-031</t>
        </is>
      </c>
      <c r="G49" s="17" t="inlineStr">
        <is>
          <t>high</t>
        </is>
      </c>
      <c r="H49" s="17" t="inlineStr">
        <is>
          <t>medium</t>
        </is>
      </c>
      <c r="I49" s="18" t="inlineStr">
        <is>
          <t>Mapear cada um dos cinco componentes contra um modulo existente do app; o que nao tiver correspondencia e a proxima especificacao de produto.</t>
        </is>
      </c>
      <c r="J49" s="17" t="inlineStr">
        <is>
          <t>fact</t>
        </is>
      </c>
    </row>
    <row r="50">
      <c r="A50" s="17" t="inlineStr">
        <is>
          <t>RI-93acc752be</t>
        </is>
      </c>
      <c r="B50" s="17" t="inlineStr">
        <is>
          <t>ECO-03</t>
        </is>
      </c>
      <c r="C50" s="17" t="inlineStr">
        <is>
          <t>SA-07B</t>
        </is>
      </c>
      <c r="D50" s="18" t="inlineStr">
        <is>
          <t>O framework editorial de sete etapas e declarado como adaptacao da logica da ISO 31000, nao como norma.</t>
        </is>
      </c>
      <c r="E50" s="18" t="inlineStr">
        <is>
          <t>DOC-C01-005: 'Contexto -&gt; Identificar -&gt; Analisar -&gt; Avaliar -&gt; Tratar -&gt; Controlar -&gt; Monitorar'; ressalva: 'seria um framework seu inspirado na ISO 31000, nao um protocolo clinico ou uma metodologia oficialmente reconhecida pela ISO'.</t>
        </is>
      </c>
      <c r="F50" s="17" t="inlineStr">
        <is>
          <t>DOC-C01-005;DOC-C03-002</t>
        </is>
      </c>
      <c r="G50" s="17" t="inlineStr">
        <is>
          <t>high</t>
        </is>
      </c>
      <c r="H50" s="17" t="inlineStr">
        <is>
          <t>medium</t>
        </is>
      </c>
      <c r="I50" s="18" t="inlineStr">
        <is>
          <t>Repetir a ressalva em toda peca que citar ISO 31000; e o ponto onde a credibilidade e mais facil de perder.</t>
        </is>
      </c>
      <c r="J50" s="17" t="inlineStr">
        <is>
          <t>fact</t>
        </is>
      </c>
    </row>
    <row r="51">
      <c r="A51" s="17" t="inlineStr">
        <is>
          <t>RI-68577dfeed</t>
        </is>
      </c>
      <c r="B51" s="17" t="inlineStr">
        <is>
          <t>ECO-07</t>
        </is>
      </c>
      <c r="C51" s="17" t="inlineStr">
        <is>
          <t>SA-07B</t>
        </is>
      </c>
      <c r="D51" s="18" t="inlineStr">
        <is>
          <t>A capacidade do Estudio e uma pessoa, e isso e apresentado como diferencial e nao como limite.</t>
        </is>
      </c>
      <c r="E51" s="18" t="inlineStr">
        <is>
          <t>DOC-C05-001: 'Limite de um cliente por semana, apresentado como diferencial do servico'; nenhum documento lido preve equipe, subcontratacao ou padronizacao de entrega.</t>
        </is>
      </c>
      <c r="F51" s="17" t="inlineStr">
        <is>
          <t>DOC-C05-001;DOC-C09-006</t>
        </is>
      </c>
      <c r="G51" s="17" t="inlineStr">
        <is>
          <t>high</t>
        </is>
      </c>
      <c r="H51" s="17" t="inlineStr">
        <is>
          <t>high</t>
        </is>
      </c>
      <c r="I51" s="18" t="inlineStr">
        <is>
          <t>Padronizar 3 entregaveis repetiveis (os das tres familias) para reduzir o custo marginal por cliente antes de considerar aumentar preco ou volume.</t>
        </is>
      </c>
      <c r="J51" s="17" t="inlineStr">
        <is>
          <t>fact</t>
        </is>
      </c>
    </row>
    <row r="52">
      <c r="A52" s="17" t="inlineStr">
        <is>
          <t>RI-67777b6d59</t>
        </is>
      </c>
      <c r="B52" s="17" t="inlineStr">
        <is>
          <t>ECO-01</t>
        </is>
      </c>
      <c r="C52" s="17" t="inlineStr">
        <is>
          <t>SA-07B</t>
        </is>
      </c>
      <c r="D52" s="18" t="inlineStr">
        <is>
          <t>O plano de entregaveis mostra 33 de 43 itens ainda ATIVOS as vesperas do lancamento.</t>
        </is>
      </c>
      <c r="E52" s="18" t="inlineStr">
        <is>
          <t>DOC-C02-004: 43 linhas, status 'ATIVO' 33 e 'CONCLUIDO' 10, distribuidas em 10 areas (APP 6, Editorial 6, GTM 5, Produtos Fisicos 5, Infoprodutos 5, Showroom 5, Dados 4, Studio 4, Freeze/Launch 2, Governanca 1).</t>
        </is>
      </c>
      <c r="F52" s="17" t="inlineStr">
        <is>
          <t>DOC-C02-004</t>
        </is>
      </c>
      <c r="G52" s="17" t="inlineStr">
        <is>
          <t>high</t>
        </is>
      </c>
      <c r="H52" s="17" t="inlineStr">
        <is>
          <t>high</t>
        </is>
      </c>
      <c r="I52" s="18" t="inlineStr">
        <is>
          <t>Cortar escopo por area antes de cortar qualidade: com 60h comprometidas, 33 entregaveis ativos em 10 frentes e o principal risco do 07/09.</t>
        </is>
      </c>
      <c r="J52" s="17" t="inlineStr">
        <is>
          <t>fact</t>
        </is>
      </c>
    </row>
    <row r="53">
      <c r="A53" s="17" t="inlineStr">
        <is>
          <t>RI-325caaa6fa</t>
        </is>
      </c>
      <c r="B53" s="17" t="inlineStr">
        <is>
          <t>ECO-01</t>
        </is>
      </c>
      <c r="C53" s="17" t="inlineStr">
        <is>
          <t>SA-08A</t>
        </is>
      </c>
      <c r="D53" s="18" t="inlineStr">
        <is>
          <t>O cliente e definido por comportamento observavel e por um evento de valor unico.</t>
        </is>
      </c>
      <c r="E53" s="18" t="inlineStr">
        <is>
          <t>ICP-01 (comportamento, sem diagnostico) combinado a VALUE_EVENT-01 e aos endpoints funcionais time_to_next_action, resume_latency, completion_rate, context_reconstruction, execution_cycles_per_week e abandonment_rate.</t>
        </is>
      </c>
      <c r="F53" s="17" t="inlineStr">
        <is>
          <t>DOC-C07-009</t>
        </is>
      </c>
      <c r="G53" s="17" t="inlineStr">
        <is>
          <t>high</t>
        </is>
      </c>
      <c r="H53" s="17" t="inlineStr">
        <is>
          <t>high</t>
        </is>
      </c>
      <c r="I53" s="18" t="inlineStr">
        <is>
          <t>Fazer do painel de ativacao o primeiro dashboard interno pos-lancamento, nao o de downloads.</t>
        </is>
      </c>
      <c r="J53" s="17" t="inlineStr">
        <is>
          <t>fact</t>
        </is>
      </c>
    </row>
    <row r="54">
      <c r="A54" s="17" t="inlineStr">
        <is>
          <t>RI-0fc54a3c49</t>
        </is>
      </c>
      <c r="B54" s="17" t="inlineStr">
        <is>
          <t>ECO-01</t>
        </is>
      </c>
      <c r="C54" s="17" t="inlineStr">
        <is>
          <t>SA-08B</t>
        </is>
      </c>
      <c r="D54" s="18" t="inlineStr">
        <is>
          <t>A companhia e um operador unico que sustenta simultaneamente app, blog, framework, servicos, infoprodutos, produtos fisicos e afiliados.</t>
        </is>
      </c>
      <c r="E54" s="18" t="inlineStr">
        <is>
          <t>DOC-C05-001 e DOC-C06-001 descrevem sete frentes com capacidade declarada de 6h/dia e 60h comprometidas em 12 dias; DOC-C02-004 confirma 10 areas de entregavel simultaneas.</t>
        </is>
      </c>
      <c r="F54" s="17" t="inlineStr">
        <is>
          <t>DOC-C05-001;DOC-C06-001;DOC-C02-004</t>
        </is>
      </c>
      <c r="G54" s="17" t="inlineStr">
        <is>
          <t>high</t>
        </is>
      </c>
      <c r="H54" s="17" t="inlineStr">
        <is>
          <t>high</t>
        </is>
      </c>
      <c r="I54" s="18" t="inlineStr">
        <is>
          <t>Nomear explicitamente qual unidade e prioritaria em caso de conflito de agenda; hoje o plano assume que todas cabem.</t>
        </is>
      </c>
      <c r="J54" s="17" t="inlineStr">
        <is>
          <t>inference</t>
        </is>
      </c>
    </row>
    <row r="55">
      <c r="A55" s="17" t="inlineStr">
        <is>
          <t>RI-c30817e101</t>
        </is>
      </c>
      <c r="B55" s="17" t="inlineStr">
        <is>
          <t>ECO-01</t>
        </is>
      </c>
      <c r="C55" s="17" t="inlineStr">
        <is>
          <t>SA-09A</t>
        </is>
      </c>
      <c r="D55" s="18" t="inlineStr">
        <is>
          <t>Forca: produto real em producao com governanca de evidencia e 22 decisoes operacionais documentadas.</t>
        </is>
      </c>
      <c r="E55" s="18" t="inlineStr">
        <is>
          <t>DOC-C04-002 comprova repositorio, CI e testes; DOC-C07-009 registra '22 decisoes operacionais: 15 produto/seguranca + 7 negocio/pesquisa'.</t>
        </is>
      </c>
      <c r="F55" s="17" t="inlineStr">
        <is>
          <t>DOC-C04-002;DOC-C07-009</t>
        </is>
      </c>
      <c r="G55" s="17" t="inlineStr">
        <is>
          <t>high</t>
        </is>
      </c>
      <c r="H55" s="17" t="inlineStr">
        <is>
          <t>medium</t>
        </is>
      </c>
      <c r="I55" s="18" t="inlineStr">
        <is>
          <t>Usar as 22 decisoes como backlog de requisitos rastreaveis; poucos concorrentes conseguem mostrar essa cadeia.</t>
        </is>
      </c>
      <c r="J55" s="17" t="inlineStr">
        <is>
          <t>fact</t>
        </is>
      </c>
    </row>
    <row r="56">
      <c r="A56" s="17" t="inlineStr">
        <is>
          <t>RI-5ee2a9a7a8</t>
        </is>
      </c>
      <c r="B56" s="17" t="inlineStr">
        <is>
          <t>ECO-01</t>
        </is>
      </c>
      <c r="C56" s="17" t="inlineStr">
        <is>
          <t>SA-09B</t>
        </is>
      </c>
      <c r="D56" s="18" t="inlineStr">
        <is>
          <t>Fraqueza: zero registros no gate estrito de verificacao e nenhum cliente pagante.</t>
        </is>
      </c>
      <c r="E56" s="18" t="inlineStr">
        <is>
          <t>DOC-C07-009: 'Strict VERIFIED 0 - gate factual permanece preservado'; '161 evidence candidates'; 'governed_verified_links: 0'; gaps de CAC/LTV/PMF com 'remaining: Campanhas e clientes pagantes' e 'Cohort real'.</t>
        </is>
      </c>
      <c r="F56" s="17" t="inlineStr">
        <is>
          <t>DOC-C07-009</t>
        </is>
      </c>
      <c r="G56" s="17" t="inlineStr">
        <is>
          <t>high</t>
        </is>
      </c>
      <c r="H56" s="17" t="inlineStr">
        <is>
          <t>high</t>
        </is>
      </c>
      <c r="I56" s="18" t="inlineStr">
        <is>
          <t>Aceitar que o lancamento de 07/09 e um experimento de aquisicao, nao uma operacao comercial validada, e comunicar internamente assim.</t>
        </is>
      </c>
      <c r="J56" s="17" t="inlineStr">
        <is>
          <t>fact</t>
        </is>
      </c>
    </row>
    <row r="57">
      <c r="A57" s="17" t="inlineStr">
        <is>
          <t>RI-2e543a003f</t>
        </is>
      </c>
      <c r="B57" s="17" t="inlineStr">
        <is>
          <t>ECO-03</t>
        </is>
      </c>
      <c r="C57" s="17" t="inlineStr">
        <is>
          <t>SA-09C</t>
        </is>
      </c>
      <c r="D57" s="18" t="inlineStr">
        <is>
          <t>Oportunidade: converter a matriz GP-01..GP-11 em white paper citavel antes que o campo se popule.</t>
        </is>
      </c>
      <c r="E57" s="18" t="inlineStr">
        <is>
          <t>DOC-C02-015 preve 'White paper v1 de 15-30 paginas' e 'DOI somente apos estabilizacao'; DOC-C02-042 registra que a APM ja publicou formulacao proxima em 26/08/2026.</t>
        </is>
      </c>
      <c r="F57" s="17" t="inlineStr">
        <is>
          <t>DOC-C02-015;DOC-C02-042;DOC-C07-003</t>
        </is>
      </c>
      <c r="G57" s="17" t="inlineStr">
        <is>
          <t>high</t>
        </is>
      </c>
      <c r="H57" s="17" t="inlineStr">
        <is>
          <t>high</t>
        </is>
      </c>
      <c r="I57" s="18" t="inlineStr">
        <is>
          <t>Antecipar o white paper para logo apos a campanha editorial; a janela de anterioridade esta se fechando.</t>
        </is>
      </c>
      <c r="J57" s="17" t="inlineStr">
        <is>
          <t>inference</t>
        </is>
      </c>
    </row>
    <row r="58">
      <c r="A58" s="17" t="inlineStr">
        <is>
          <t>RI-116f67664e</t>
        </is>
      </c>
      <c r="B58" s="17" t="inlineStr">
        <is>
          <t>ECO-02</t>
        </is>
      </c>
      <c r="C58" s="17" t="inlineStr">
        <is>
          <t>SA-09D</t>
        </is>
      </c>
      <c r="D58" s="18" t="inlineStr">
        <is>
          <t>Ameaca: saturacao e desinformacao no tema podem derrubar a confianca do publico.</t>
        </is>
      </c>
      <c r="E58" s="18" t="inlineStr">
        <is>
          <t>QL-0015: 'Conteudo superficial e desinformacao sao tratados como riscos de saturacao e perda de confianca'; QL-0013 descreve 'transicao de conscientizacao acelerada para maturacao e monetizacao do mercado'.</t>
        </is>
      </c>
      <c r="F58" s="17" t="inlineStr">
        <is>
          <t>DOC-C07-007</t>
        </is>
      </c>
      <c r="G58" s="17" t="inlineStr">
        <is>
          <t>high</t>
        </is>
      </c>
      <c r="H58" s="17" t="inlineStr">
        <is>
          <t>medium</t>
        </is>
      </c>
      <c r="I58" s="18" t="inlineStr">
        <is>
          <t>Fazer da politica de citacao e da separacao evidencia/interpretacao um elemento visivel da marca, nao um detalhe interno.</t>
        </is>
      </c>
      <c r="J58" s="17" t="inlineStr">
        <is>
          <t>fact</t>
        </is>
      </c>
    </row>
    <row r="59">
      <c r="A59" s="17" t="inlineStr">
        <is>
          <t>RI-e32b1d6524</t>
        </is>
      </c>
      <c r="B59" s="17" t="inlineStr">
        <is>
          <t>ECO-01</t>
        </is>
      </c>
      <c r="C59" s="17" t="inlineStr">
        <is>
          <t>SA-09D</t>
        </is>
      </c>
      <c r="D59" s="18" t="inlineStr">
        <is>
          <t>Ameaca: uma unica peca de copy com claim clinico pode acionar risco regulatorio e reputacional simultaneo.</t>
        </is>
      </c>
      <c r="E59" s="18" t="inlineStr">
        <is>
          <t>CLAIM-01 exige 'Revisao juridica/regulatoria da copy final e auditoria de implementacao'; a lista de proibidos inclui 'Cientificamente comprovado para TDAH', e o funil de lancamento parte de conteudo sobre TDAH.</t>
        </is>
      </c>
      <c r="F59" s="17" t="inlineStr">
        <is>
          <t>DOC-C07-009;DOC-C10-011;DOC-C10-019</t>
        </is>
      </c>
      <c r="G59" s="17" t="inlineStr">
        <is>
          <t>high</t>
        </is>
      </c>
      <c r="H59" s="17" t="inlineStr">
        <is>
          <t>high</t>
        </is>
      </c>
      <c r="I59" s="18" t="inlineStr">
        <is>
          <t>Inserir um gate de revisao de claims no fluxo de publicacao, entre 'texto aprovado' e 'CMS carregado'.</t>
        </is>
      </c>
      <c r="J59" s="17" t="inlineStr">
        <is>
          <t>inference</t>
        </is>
      </c>
    </row>
    <row r="60">
      <c r="A60" s="17" t="inlineStr">
        <is>
          <t>RI-04927c2e2c</t>
        </is>
      </c>
      <c r="B60" s="17" t="inlineStr">
        <is>
          <t>ECO-07</t>
        </is>
      </c>
      <c r="C60" s="17" t="inlineStr">
        <is>
          <t>SA-09B</t>
        </is>
      </c>
      <c r="D60" s="18" t="inlineStr">
        <is>
          <t>Fraqueza: a oferta de servico esta incompleta em quatro elementos criticos as vesperas do lancamento.</t>
        </is>
      </c>
      <c r="E60" s="18" t="inlineStr">
        <is>
          <t>DOC-C09-006 lista como pendentes: 'pagina institucional de servicos; pagina Estudio; formulario visual inicial; tres familias de servico; condicao de preco inicial; demonstracoes de casos proprios; chamada CH-006 funcionando'.</t>
        </is>
      </c>
      <c r="F60" s="17" t="inlineStr">
        <is>
          <t>DOC-C09-006;DOC-C12-006;DOC-C12-007</t>
        </is>
      </c>
      <c r="G60" s="17" t="inlineStr">
        <is>
          <t>high</t>
        </is>
      </c>
      <c r="H60" s="17" t="inlineStr">
        <is>
          <t>high</t>
        </is>
      </c>
      <c r="I60" s="18" t="inlineStr">
        <is>
          <t>Ou fechar os sete itens ate 05/09 ou remover o Estudio do lancamento e mante-lo como lista de interesse.</t>
        </is>
      </c>
      <c r="J60" s="17" t="inlineStr">
        <is>
          <t>fact</t>
        </is>
      </c>
    </row>
    <row r="61">
      <c r="A61" s="17" t="inlineStr">
        <is>
          <t>RI-59c6e7b354</t>
        </is>
      </c>
      <c r="B61" s="17" t="inlineStr">
        <is>
          <t>ECO-07</t>
        </is>
      </c>
      <c r="C61" s="17" t="inlineStr">
        <is>
          <t>SA-09C</t>
        </is>
      </c>
      <c r="D61" s="18" t="inlineStr">
        <is>
          <t>Oportunidade: o proprio EXECUTAR e o showroom do servico, eliminando o custo de portfolio inicial.</t>
        </is>
      </c>
      <c r="E61" s="18" t="inlineStr">
        <is>
          <t>DOC-C05-001: 'O app Executar, o Agente 007, skills e plugins funcionam como provas visuais e como principal showroom das capacidades oferecidas'.</t>
        </is>
      </c>
      <c r="F61" s="17" t="inlineStr">
        <is>
          <t>DOC-C05-001;DOC-C11-010</t>
        </is>
      </c>
      <c r="G61" s="17" t="inlineStr">
        <is>
          <t>high</t>
        </is>
      </c>
      <c r="H61" s="17" t="inlineStr">
        <is>
          <t>medium</t>
        </is>
      </c>
      <c r="I61" s="18" t="inlineStr">
        <is>
          <t>Gravar as demonstracoes 01-04 uma unica vez e reutiliza-las como material comercial permanente do Estudio.</t>
        </is>
      </c>
      <c r="J61" s="17" t="inlineStr">
        <is>
          <t>fact</t>
        </is>
      </c>
    </row>
    <row r="62">
      <c r="A62" s="17" t="inlineStr">
        <is>
          <t>RI-f4c1bf46da</t>
        </is>
      </c>
      <c r="B62" s="17" t="inlineStr">
        <is>
          <t>ECO-01</t>
        </is>
      </c>
      <c r="C62" s="17" t="inlineStr">
        <is>
          <t>SA-10A</t>
        </is>
      </c>
      <c r="D62" s="18" t="inlineStr">
        <is>
          <t>Nao ha base para pontuar atratividade de mercado do app: nenhum dos insumos de tamanho, crescimento ou rentabilidade esta verificado.</t>
        </is>
      </c>
      <c r="E62" s="18" t="inlineStr">
        <is>
          <t>TAM/SAM/SOM sem metodologia (QT-0131/132/133), CAGR sem fonte resolvida (QT-0138/139), LTV e CAC apenas modelados, e 'Strict VERIFIED 0'.</t>
        </is>
      </c>
      <c r="F62" s="17" t="inlineStr">
        <is>
          <t>DOC-C07-007;DOC-C07-009</t>
        </is>
      </c>
      <c r="G62" s="17" t="inlineStr">
        <is>
          <t>high</t>
        </is>
      </c>
      <c r="H62" s="17" t="inlineStr">
        <is>
          <t>medium</t>
        </is>
      </c>
      <c r="I62" s="18" t="inlineStr">
        <is>
          <t>Adiar qualquer scoring formal de atratividade; a decisao de continuar deve se apoiar em PMF-01, nao em tamanho de mercado.</t>
        </is>
      </c>
      <c r="J62" s="17" t="inlineStr">
        <is>
          <t>gap</t>
        </is>
      </c>
    </row>
    <row r="63">
      <c r="A63" s="17" t="inlineStr">
        <is>
          <t>RI-eff640f8e8</t>
        </is>
      </c>
      <c r="B63" s="17" t="inlineStr">
        <is>
          <t>ECO-03</t>
        </is>
      </c>
      <c r="C63" s="17" t="inlineStr">
        <is>
          <t>SA-10A</t>
        </is>
      </c>
      <c r="D63" s="18" t="inlineStr">
        <is>
          <t>A atratividade do territorio de framework e sustentada por evidencia de problema, nao por evidencia de mercado.</t>
        </is>
      </c>
      <c r="E63" s="18" t="inlineStr">
        <is>
          <t>DOC-C01-005: 'A evidencia disponivel sustenta claramente a existencia do problema social. O que ainda precisara ser demonstrado... e se organizar essas dificuldades atraves de um framework explicito... constitui uma abordagem util e empiricamente defensavel.'</t>
        </is>
      </c>
      <c r="F63" s="17" t="inlineStr">
        <is>
          <t>DOC-C01-005;DOC-C02-031</t>
        </is>
      </c>
      <c r="G63" s="17" t="inlineStr">
        <is>
          <t>high</t>
        </is>
      </c>
      <c r="H63" s="17" t="inlineStr">
        <is>
          <t>medium</t>
        </is>
      </c>
      <c r="I63" s="18" t="inlineStr">
        <is>
          <t>Separar as duas perguntas nos relatorios internos: existencia do problema (respondida) e utilidade do framework (aberta).</t>
        </is>
      </c>
      <c r="J63" s="17" t="inlineStr">
        <is>
          <t>fact</t>
        </is>
      </c>
    </row>
    <row r="64">
      <c r="A64" s="17" t="inlineStr">
        <is>
          <t>RI-6c7f94604d</t>
        </is>
      </c>
      <c r="B64" s="17" t="inlineStr">
        <is>
          <t>ECO-01</t>
        </is>
      </c>
      <c r="C64" s="17" t="inlineStr">
        <is>
          <t>SA-10B</t>
        </is>
      </c>
      <c r="D64" s="18" t="inlineStr">
        <is>
          <t>A capacidade de vencer se apoia em ativos verificaveis: produto operante, base de evidencia governada e matriz de decisao de design.</t>
        </is>
      </c>
      <c r="E64" s="18" t="inlineStr">
        <is>
          <t>DOC-C04-002 (CI verde, 398 testes), DOC-C07-009 (22 decisoes, invariantes epistemicos), DOC-C07-003 (11 linhas GP com compensacao sistemica e decisao de produto).</t>
        </is>
      </c>
      <c r="F64" s="17" t="inlineStr">
        <is>
          <t>DOC-C04-002;DOC-C07-009;DOC-C07-003</t>
        </is>
      </c>
      <c r="G64" s="17" t="inlineStr">
        <is>
          <t>high</t>
        </is>
      </c>
      <c r="H64" s="17" t="inlineStr">
        <is>
          <t>medium</t>
        </is>
      </c>
      <c r="I64" s="18" t="inlineStr">
        <is>
          <t>Comunicar a cadeia evidencia -&gt; decisao -&gt; feature como diferencial verificavel; e o que nenhum concorrente de infoproduto pode replicar rapido.</t>
        </is>
      </c>
      <c r="J64" s="17" t="inlineStr">
        <is>
          <t>inference</t>
        </is>
      </c>
    </row>
    <row r="65">
      <c r="A65" s="17" t="inlineStr">
        <is>
          <t>RI-1ba04e2e6d</t>
        </is>
      </c>
      <c r="B65" s="17" t="inlineStr">
        <is>
          <t>ECO-07</t>
        </is>
      </c>
      <c r="C65" s="17" t="inlineStr">
        <is>
          <t>SA-10B</t>
        </is>
      </c>
      <c r="D65" s="18" t="inlineStr">
        <is>
          <t>A capacidade de vencer no servico e limitada por capacidade humana, nao por demanda ou diferenciacao.</t>
        </is>
      </c>
      <c r="E65" s="18" t="inlineStr">
        <is>
          <t>Um cliente por semana (DOC-C05-001), tres familias de servico ainda nao especificadas (DOC-C09-006) e nenhuma padronizacao de entrega documentada.</t>
        </is>
      </c>
      <c r="F65" s="17" t="inlineStr">
        <is>
          <t>DOC-C05-001;DOC-C09-006</t>
        </is>
      </c>
      <c r="G65" s="17" t="inlineStr">
        <is>
          <t>high</t>
        </is>
      </c>
      <c r="H65" s="17" t="inlineStr">
        <is>
          <t>medium</t>
        </is>
      </c>
      <c r="I65" s="18" t="inlineStr">
        <is>
          <t>Tratar o Estudio como gerador de casos e insumo editorial na fase 1; escalar so depois de 5 entregas com escopo repetido.</t>
        </is>
      </c>
      <c r="J65" s="17" t="inlineStr">
        <is>
          <t>inference</t>
        </is>
      </c>
    </row>
    <row r="66">
      <c r="A66" s="17" t="inlineStr">
        <is>
          <t>RI-5df8695d19</t>
        </is>
      </c>
      <c r="B66" s="17" t="inlineStr">
        <is>
          <t>ECO-02</t>
        </is>
      </c>
      <c r="C66" s="17" t="inlineStr">
        <is>
          <t>SA-10B</t>
        </is>
      </c>
      <c r="D66" s="18" t="inlineStr">
        <is>
          <t>A capacidade de vencer no editorial depende de um ativo que ainda nao existe: o site publicado.</t>
        </is>
      </c>
      <c r="E66" s="18" t="inlineStr">
        <is>
          <t>DOC-C02-039 registra status 'fundacao editorial definida; validacao e publicacao pendentes' e AGORA = 'Confirmar dominio e reservar @riscocognitivo'; DOC-C02-043 lista 11 proximos passos comecando por dominio e repositorio.</t>
        </is>
      </c>
      <c r="F66" s="17" t="inlineStr">
        <is>
          <t>DOC-C02-039;DOC-C02-043</t>
        </is>
      </c>
      <c r="G66" s="17" t="inlineStr">
        <is>
          <t>high</t>
        </is>
      </c>
      <c r="H66" s="17" t="inlineStr">
        <is>
          <t>high</t>
        </is>
      </c>
      <c r="I66" s="18" t="inlineStr">
        <is>
          <t>Dominio, repositorio e CMS no ar sao pre-requisitos duros; qualquer plano editorial anterior a isso e planejamento sem canal.</t>
        </is>
      </c>
      <c r="J66" s="17" t="inlineStr">
        <is>
          <t>fact</t>
        </is>
      </c>
    </row>
    <row r="67">
      <c r="A67" s="17" t="inlineStr">
        <is>
          <t>RI-def925c68e</t>
        </is>
      </c>
      <c r="B67" s="17" t="inlineStr">
        <is>
          <t>ECO-02</t>
        </is>
      </c>
      <c r="C67" s="17" t="inlineStr">
        <is>
          <t>SA-11A</t>
        </is>
      </c>
      <c r="D67" s="18" t="inlineStr">
        <is>
          <t>A escolha declarada e ocupar um territorio editorial proprio, e nao a categoria blog de TDAH.</t>
        </is>
      </c>
      <c r="E67" s="18" t="inlineStr">
        <is>
          <t>DOC-C02-043: 'Risco Cognitivo deixa de ser apenas um blog sobre TDAH e passa a ser um territorio editorial sobre funcoes executivas, neurodivergencia, trabalho, projetos, risco e execucao'; DOC-C01-005 reforca 'TDAH pode ser seu primeiro laboratorio'.</t>
        </is>
      </c>
      <c r="F67" s="17" t="inlineStr">
        <is>
          <t>DOC-C02-043;DOC-C01-005</t>
        </is>
      </c>
      <c r="G67" s="17" t="inlineStr">
        <is>
          <t>high</t>
        </is>
      </c>
      <c r="H67" s="17" t="inlineStr">
        <is>
          <t>high</t>
        </is>
      </c>
      <c r="I67" s="18" t="inlineStr">
        <is>
          <t>Aplicar o teste em cada pauta: se ela so faz sentido para quem tem TDAH, ela pertence a Biblioteca EXECUTAR, nao ao Risco Cognitivo.</t>
        </is>
      </c>
      <c r="J67" s="17" t="inlineStr">
        <is>
          <t>fact</t>
        </is>
      </c>
    </row>
    <row r="68">
      <c r="A68" s="17" t="inlineStr">
        <is>
          <t>RI-4f498c61b9</t>
        </is>
      </c>
      <c r="B68" s="17" t="inlineStr">
        <is>
          <t>ECO-02</t>
        </is>
      </c>
      <c r="C68" s="17" t="inlineStr">
        <is>
          <t>SA-11A</t>
        </is>
      </c>
      <c r="D68" s="18" t="inlineStr">
        <is>
          <t>Ha duas arquiteturas editoriais concorrentes no acervo, com categorias diferentes.</t>
        </is>
      </c>
      <c r="E68" s="18" t="inlineStr">
        <is>
          <t>Versao A (DOC-C02-043/DOC-C01-005): territorio 'Risco Cognitivo', mais amplo que TDAH. Versao B (DOC-C10-003): 'Arquitetura editorial unica - Categoria: TDAH adulto aplicado ao trabalho, a gestao e a execucao', com tres pilares e 4E.</t>
        </is>
      </c>
      <c r="F68" s="17" t="inlineStr">
        <is>
          <t>DOC-C02-043;DOC-C01-005;DOC-C10-003;DOC-C05-001</t>
        </is>
      </c>
      <c r="G68" s="17" t="inlineStr">
        <is>
          <t>high</t>
        </is>
      </c>
      <c r="H68" s="17" t="inlineStr">
        <is>
          <t>high</t>
        </is>
      </c>
      <c r="I68" s="18" t="inlineStr">
        <is>
          <t>Decidir se sao duas publicacoes (Risco Cognitivo e Biblioteca EXECUTAR) ou uma; hoje o lancamento de 07/09 usa a Versao B e o pacote Risco Cognitivo usa a Versao A.</t>
        </is>
      </c>
      <c r="J68" s="17" t="inlineStr">
        <is>
          <t>conflict</t>
        </is>
      </c>
    </row>
    <row r="69">
      <c r="A69" s="17" t="inlineStr">
        <is>
          <t>RI-6c08c5ef91</t>
        </is>
      </c>
      <c r="B69" s="17" t="inlineStr">
        <is>
          <t>ECO-01</t>
        </is>
      </c>
      <c r="C69" s="17" t="inlineStr">
        <is>
          <t>SA-11A</t>
        </is>
      </c>
      <c r="D69" s="18" t="inlineStr">
        <is>
          <t>A escolha de terreno do produto e execucao multiprojeto, explicitamente fora do terreno clinico.</t>
        </is>
      </c>
      <c r="E69" s="18" t="inlineStr">
        <is>
          <t>POSITION-01: 'Posicionar o EXECUTAR como sistema de execucao para rotinas multiprojeto, nao como tratamento de TDAH'; nota: 'Neurocompativel por design pode ser explorado como linguagem de design, mas nao como claim clinico'.</t>
        </is>
      </c>
      <c r="F69" s="17" t="inlineStr">
        <is>
          <t>DOC-C07-009</t>
        </is>
      </c>
      <c r="G69" s="17" t="inlineStr">
        <is>
          <t>high</t>
        </is>
      </c>
      <c r="H69" s="17" t="inlineStr">
        <is>
          <t>high</t>
        </is>
      </c>
      <c r="I69" s="18" t="inlineStr">
        <is>
          <t>Definir publicamente o que 'neurocompativel por design' significa em termos de design, senao o termo sera lido como claim clinico.</t>
        </is>
      </c>
      <c r="J69" s="17" t="inlineStr">
        <is>
          <t>fact</t>
        </is>
      </c>
    </row>
    <row r="70">
      <c r="A70" s="17" t="inlineStr">
        <is>
          <t>RI-ad721f283c</t>
        </is>
      </c>
      <c r="B70" s="17" t="inlineStr">
        <is>
          <t>ECO-03</t>
        </is>
      </c>
      <c r="C70" s="17" t="inlineStr">
        <is>
          <t>SA-11A</t>
        </is>
      </c>
      <c r="D70" s="18" t="inlineStr">
        <is>
          <t>O terreno do framework e a integracao especifica, nao o termo generico.</t>
        </is>
      </c>
      <c r="E70" s="18" t="inlineStr">
        <is>
          <t>RC-030: 'Nao reivindicar criacao do termo - a contribuicao defensavel e a sintese/aplicacao especifica'; DOC-C02-016 (GUARDRAIL): 'a contribuicao defensavel e a integracao especifica com funcoes executivas, neurodivergencia e execucao de projetos'.</t>
        </is>
      </c>
      <c r="F70" s="17" t="inlineStr">
        <is>
          <t>DOC-C02-016;DOC-C02-042;DOC-C02-030</t>
        </is>
      </c>
      <c r="G70" s="17" t="inlineStr">
        <is>
          <t>high</t>
        </is>
      </c>
      <c r="H70" s="17" t="inlineStr">
        <is>
          <t>medium</t>
        </is>
      </c>
      <c r="I70" s="18" t="inlineStr">
        <is>
          <t>Escrever a frase de contribuicao em uma unica sentenca canonica e reutiliza-la sem variacao em todos os materiais.</t>
        </is>
      </c>
      <c r="J70" s="17" t="inlineStr">
        <is>
          <t>fact</t>
        </is>
      </c>
    </row>
    <row r="71">
      <c r="A71" s="17" t="inlineStr">
        <is>
          <t>RI-4f27ec35f3</t>
        </is>
      </c>
      <c r="B71" s="17" t="inlineStr">
        <is>
          <t>ECO-02</t>
        </is>
      </c>
      <c r="C71" s="17" t="inlineStr">
        <is>
          <t>SA-11B</t>
        </is>
      </c>
      <c r="D71" s="18" t="inlineStr">
        <is>
          <t>A logica de vitoria editorial e sequencial: instalar a categoria antes de apresentar o produto.</t>
        </is>
      </c>
      <c r="E71" s="18" t="inlineStr">
        <is>
          <t>DOC-C02-042: 'construir primeiro a categoria intelectual Risco Cognitivo, depois validar o framework e somente entao apresentar o EXECUTAR como implementacao'; DOC-C02-043: 'O artigo nao termina vendendo EXECUTAR'.</t>
        </is>
      </c>
      <c r="F71" s="17" t="inlineStr">
        <is>
          <t>DOC-C02-042;DOC-C02-043;DOC-C02-014</t>
        </is>
      </c>
      <c r="G71" s="17" t="inlineStr">
        <is>
          <t>high</t>
        </is>
      </c>
      <c r="H71" s="17" t="inlineStr">
        <is>
          <t>high</t>
        </is>
      </c>
      <c r="I71" s="18" t="inlineStr">
        <is>
          <t>Se essa sequencia for mantida, os CTAs comerciais (CTA-001/004/005/006) nao podem aparecer nas pecas do Risco Cognitivo.</t>
        </is>
      </c>
      <c r="J71" s="17" t="inlineStr">
        <is>
          <t>fact</t>
        </is>
      </c>
    </row>
    <row r="72">
      <c r="A72" s="17" t="inlineStr">
        <is>
          <t>RI-b1f7cf8210</t>
        </is>
      </c>
      <c r="B72" s="17" t="inlineStr">
        <is>
          <t>ECO-01</t>
        </is>
      </c>
      <c r="C72" s="17" t="inlineStr">
        <is>
          <t>SA-11B</t>
        </is>
      </c>
      <c r="D72" s="18" t="inlineStr">
        <is>
          <t>Ha conflito direto entre a sequencia editorial (produto por ultimo) e o GTM de 07/09 (produto e ofertas no dia um).</t>
        </is>
      </c>
      <c r="E72" s="18" t="inlineStr">
        <is>
          <t>DOC-C02-042/043: 'CTA inicial: ler, explorar, assinar e baixar... o EXECUTAR fica para uma campanha posterior'. DOC-C06-001/DOC-C08-011: lancamento em 07/09 com CTA-001 App, CTA-004 E-book, CTA-005 Curso, CTA-006 Studio, CTA-009 Office Kit e commerce em Hotmart configurado em D3.</t>
        </is>
      </c>
      <c r="F72" s="17" t="inlineStr">
        <is>
          <t>DOC-C02-042;DOC-C02-043;DOC-C06-001;DOC-C08-011</t>
        </is>
      </c>
      <c r="G72" s="17" t="inlineStr">
        <is>
          <t>high</t>
        </is>
      </c>
      <c r="H72" s="17" t="inlineStr">
        <is>
          <t>high</t>
        </is>
      </c>
      <c r="I72" s="18" t="inlineStr">
        <is>
          <t>Resolver explicitamente: ou sao dois lancamentos com marcas separadas (Risco Cognitivo editorial e EXECUTAR comercial), ou a sequencia de categoria foi abandonada e isso precisa ser registrado como decisao.</t>
        </is>
      </c>
      <c r="J72" s="17" t="inlineStr">
        <is>
          <t>conflict</t>
        </is>
      </c>
    </row>
    <row r="73">
      <c r="A73" s="17" t="inlineStr">
        <is>
          <t>RI-06b9e6243b</t>
        </is>
      </c>
      <c r="B73" s="17" t="inlineStr">
        <is>
          <t>ECO-01</t>
        </is>
      </c>
      <c r="C73" s="17" t="inlineStr">
        <is>
          <t>SA-11B</t>
        </is>
      </c>
      <c r="D73" s="18" t="inlineStr">
        <is>
          <t>A promessa competitiva do produto e reduzir o trabalho de operar a ferramenta, nao adicionar recursos.</t>
        </is>
      </c>
      <c r="E73" s="18" t="inlineStr">
        <is>
          <t>DOC-C09-004: 'O aplicativo de produtividade feito para voce usar menos. O sistema sustenta a estrutura; o usuario executa'; DOC-C05-001 item 04: 'Zero configuracao, minima personalizacao, externalizacao cognitiva e reducao do tempo gasto administrando a ferramenta'.</t>
        </is>
      </c>
      <c r="F73" s="17" t="inlineStr">
        <is>
          <t>DOC-C09-004;DOC-C05-001</t>
        </is>
      </c>
      <c r="G73" s="17" t="inlineStr">
        <is>
          <t>high</t>
        </is>
      </c>
      <c r="H73" s="17" t="inlineStr">
        <is>
          <t>high</t>
        </is>
      </c>
      <c r="I73" s="18" t="inlineStr">
        <is>
          <t>Medir a promessa: tempo de setup ate o primeiro VALUE_EVENT-01 e a metrica que prova ou desmente 'zero configuracao'.</t>
        </is>
      </c>
      <c r="J73" s="17" t="inlineStr">
        <is>
          <t>fact</t>
        </is>
      </c>
    </row>
    <row r="74">
      <c r="A74" s="17" t="inlineStr">
        <is>
          <t>RI-16651ba407</t>
        </is>
      </c>
      <c r="B74" s="17" t="inlineStr">
        <is>
          <t>ECO-03</t>
        </is>
      </c>
      <c r="C74" s="17" t="inlineStr">
        <is>
          <t>SA-11B</t>
        </is>
      </c>
      <c r="D74" s="18" t="inlineStr">
        <is>
          <t>A logica de vitoria do framework e validacao em estagios, com cada etapa condicionada a anterior.</t>
        </is>
      </c>
      <c r="E74" s="18" t="inlineStr">
        <is>
          <t>DOC-C02-042: 'Risco Cognitivo = territorio/publicacao -&gt; CERM = framework investigavel -&gt; Mapa/Register = ferramenta aplicada -&gt; EXECUTAR = implementacao -&gt; dados/casos = evidencia -&gt; white paper/livro/curso = expansao, mantendo cada estagio condicionado a validacao do anterior'.</t>
        </is>
      </c>
      <c r="F74" s="17" t="inlineStr">
        <is>
          <t>DOC-C02-042;DOC-C02-031;DOC-C02-015</t>
        </is>
      </c>
      <c r="G74" s="17" t="inlineStr">
        <is>
          <t>high</t>
        </is>
      </c>
      <c r="H74" s="17" t="inlineStr">
        <is>
          <t>medium</t>
        </is>
      </c>
      <c r="I74" s="18" t="inlineStr">
        <is>
          <t>Publicar a escada de maturidade como compromisso publico; ela protege contra a critica de que o framework e marketing de produto.</t>
        </is>
      </c>
      <c r="J74" s="17" t="inlineStr">
        <is>
          <t>fact</t>
        </is>
      </c>
    </row>
    <row r="75">
      <c r="A75" s="17" t="inlineStr">
        <is>
          <t>RI-7eeaf17354</t>
        </is>
      </c>
      <c r="B75" s="17" t="inlineStr">
        <is>
          <t>ECO-07</t>
        </is>
      </c>
      <c r="C75" s="17" t="inlineStr">
        <is>
          <t>SA-11B</t>
        </is>
      </c>
      <c r="D75" s="18" t="inlineStr">
        <is>
          <t>A logica de vitoria do servico e transformacao visivel: o cliente decide por evidencia, nao por termo tecnico.</t>
        </is>
      </c>
      <c r="E75" s="18" t="inlineStr">
        <is>
          <t>DOC-C11-010: 'Cliente entra, ve o problema compreendido e testa um prototipo... escolhe: aprovar, mudar ou perguntar... O cliente acompanha a construcao pela transformacao visivel, nao por termos tecnicos'.</t>
        </is>
      </c>
      <c r="F75" s="17" t="inlineStr">
        <is>
          <t>DOC-C11-010;DOC-C09-006</t>
        </is>
      </c>
      <c r="G75" s="17" t="inlineStr">
        <is>
          <t>high</t>
        </is>
      </c>
      <c r="H75" s="17" t="inlineStr">
        <is>
          <t>medium</t>
        </is>
      </c>
      <c r="I75" s="18" t="inlineStr">
        <is>
          <t>Fazer do prototipo no dia 2 ou 3 um compromisso contratual; e o que diferencia a oferta de uma consultoria comum.</t>
        </is>
      </c>
      <c r="J75" s="17" t="inlineStr">
        <is>
          <t>fact</t>
        </is>
      </c>
    </row>
    <row r="76">
      <c r="A76" s="17" t="inlineStr">
        <is>
          <t>RI-60d709ee57</t>
        </is>
      </c>
      <c r="B76" s="17" t="inlineStr">
        <is>
          <t>ECO-01</t>
        </is>
      </c>
      <c r="C76" s="17" t="inlineStr">
        <is>
          <t>SA-12</t>
        </is>
      </c>
      <c r="D76" s="18" t="inlineStr">
        <is>
          <t>Existem 15 decisoes de produto e seguranca derivadas de perguntas do framework de 694 itens.</t>
        </is>
      </c>
      <c r="E76" s="18" t="inlineStr">
        <is>
          <t>DOC-C07-009, all_decisions PROD-01 a PROD-15, cada uma com framework_question_id (FRM-0102 a FRM-0585), dominio e status 'DECISION_DERIVED_FROM_CANDIDATE_EVIDENCE'.</t>
        </is>
      </c>
      <c r="F76" s="17" t="inlineStr">
        <is>
          <t>DOC-C07-009</t>
        </is>
      </c>
      <c r="G76" s="17" t="inlineStr">
        <is>
          <t>high</t>
        </is>
      </c>
      <c r="H76" s="17" t="inlineStr">
        <is>
          <t>medium</t>
        </is>
      </c>
      <c r="I76" s="18" t="inlineStr">
        <is>
          <t>Converter PROD-01..15 diretamente em requisitos com criterio de aceite; a rastreabilidade ate a pergunta ja existe.</t>
        </is>
      </c>
      <c r="J76" s="17" t="inlineStr">
        <is>
          <t>fact</t>
        </is>
      </c>
    </row>
    <row r="77">
      <c r="A77" s="17" t="inlineStr">
        <is>
          <t>RI-678fc5561e</t>
        </is>
      </c>
      <c r="B77" s="17" t="inlineStr">
        <is>
          <t>ECO-01</t>
        </is>
      </c>
      <c r="C77" s="17" t="inlineStr">
        <is>
          <t>SA-12</t>
        </is>
      </c>
      <c r="D77" s="18" t="inlineStr">
        <is>
          <t>Requisito nuclear: a interface deve expor uma unica proxima acao principal e esconder complexidade secundaria.</t>
        </is>
      </c>
      <c r="E77" s="18" t="inlineStr">
        <is>
          <t>PROD-09 (FRM-0461): 'A interface deve tornar explicita uma unica proxima acao principal e esconder complexidade secundaria ate ser necessaria', confianca MEDIA-ALTA; PROD-12: 'Nos primeiros segundos, mostrar estado atual, resultado necessario e proxima acao - nao o projeto inteiro'.</t>
        </is>
      </c>
      <c r="F77" s="17" t="inlineStr">
        <is>
          <t>DOC-C07-009;DOC-C07-003</t>
        </is>
      </c>
      <c r="G77" s="17" t="inlineStr">
        <is>
          <t>high</t>
        </is>
      </c>
      <c r="H77" s="17" t="inlineStr">
        <is>
          <t>high</t>
        </is>
      </c>
      <c r="I77" s="18" t="inlineStr">
        <is>
          <t>Usar como criterio de aceite da tela inicial; violacoes desse requisito sao regressao, nao preferencia de design.</t>
        </is>
      </c>
      <c r="J77" s="17" t="inlineStr">
        <is>
          <t>fact</t>
        </is>
      </c>
    </row>
    <row r="78">
      <c r="A78" s="17" t="inlineStr">
        <is>
          <t>RI-6f19a73506</t>
        </is>
      </c>
      <c r="B78" s="17" t="inlineStr">
        <is>
          <t>ECO-01</t>
        </is>
      </c>
      <c r="C78" s="17" t="inlineStr">
        <is>
          <t>SA-12</t>
        </is>
      </c>
      <c r="D78" s="18" t="inlineStr">
        <is>
          <t>Requisito de estado: o contexto e a posicao de execucao devem ser persistidos para que a retomada nao dependa de reconstrucao mental.</t>
        </is>
      </c>
      <c r="E78" s="18" t="inlineStr">
        <is>
          <t>PROD-13 (FRM-0567): 'Persistir contexto e posicao de execucao para que retomadas nao dependam de reconstrucao mental do projeto'; GP-07 na matriz: 'O sistema deve ser memoria externa do estado operacional'.</t>
        </is>
      </c>
      <c r="F78" s="17" t="inlineStr">
        <is>
          <t>DOC-C07-009;DOC-C07-003</t>
        </is>
      </c>
      <c r="G78" s="17" t="inlineStr">
        <is>
          <t>high</t>
        </is>
      </c>
      <c r="H78" s="17" t="inlineStr">
        <is>
          <t>high</t>
        </is>
      </c>
      <c r="I78" s="18" t="inlineStr">
        <is>
          <t>Medir resume_latency como KPI de produto; e o endpoint que testa diretamente esse requisito.</t>
        </is>
      </c>
      <c r="J78" s="17" t="inlineStr">
        <is>
          <t>fact</t>
        </is>
      </c>
    </row>
    <row r="79">
      <c r="A79" s="17" t="inlineStr">
        <is>
          <t>RI-43e5f80eeb</t>
        </is>
      </c>
      <c r="B79" s="17" t="inlineStr">
        <is>
          <t>ECO-01</t>
        </is>
      </c>
      <c r="C79" s="17" t="inlineStr">
        <is>
          <t>SA-12</t>
        </is>
      </c>
      <c r="D79" s="18" t="inlineStr">
        <is>
          <t>Requisito negativo: o produto deve bloquear usos como diagnostico, substituicao profissional ou inferencia clinica.</t>
        </is>
      </c>
      <c r="E79" s="18" t="inlineStr">
        <is>
          <t>PROD-14 (FRM-0584): 'Bloquear usos do produto como diagnostico, substituicao profissional ou inferencia clinica a partir de desempenho em tarefas'; PROD-08 proibe 'triagem diagnostica baseada em um unico teste, score ou tarefa do app'.</t>
        </is>
      </c>
      <c r="F79" s="17" t="inlineStr">
        <is>
          <t>DOC-C07-009</t>
        </is>
      </c>
      <c r="G79" s="17" t="inlineStr">
        <is>
          <t>high</t>
        </is>
      </c>
      <c r="H79" s="17" t="inlineStr">
        <is>
          <t>high</t>
        </is>
      </c>
      <c r="I79" s="18" t="inlineStr">
        <is>
          <t>Implementar como regra de produto verificavel (nenhuma tela produz score interpretavel como triagem), nao apenas como aviso legal.</t>
        </is>
      </c>
      <c r="J79" s="17" t="inlineStr">
        <is>
          <t>fact</t>
        </is>
      </c>
    </row>
    <row r="80">
      <c r="A80" s="17" t="inlineStr">
        <is>
          <t>RI-b39dde0534</t>
        </is>
      </c>
      <c r="B80" s="17" t="inlineStr">
        <is>
          <t>ECO-01</t>
        </is>
      </c>
      <c r="C80" s="17" t="inlineStr">
        <is>
          <t>SA-12</t>
        </is>
      </c>
      <c r="D80" s="18" t="inlineStr">
        <is>
          <t>Ha conflito entre a demonstracao planejada com QR e a decisao tecnica que substituiu QR por reconhecimento de forma.</t>
        </is>
      </c>
      <c r="E80" s="18" t="inlineStr">
        <is>
          <t>DOC-C11-008 (Cena B): 'Usar QR/atalho para sair do objeto fisico e abrir o contexto correto'. DOC-C04-002: 'PR #75 substituiu QR impresso pelos 5 simbolos administrativos reconhecidos diretamente por forma na imagem da camera'.</t>
        </is>
      </c>
      <c r="F80" s="17" t="inlineStr">
        <is>
          <t>DOC-C11-008;DOC-C04-002</t>
        </is>
      </c>
      <c r="G80" s="17" t="inlineStr">
        <is>
          <t>medium</t>
        </is>
      </c>
      <c r="H80" s="17" t="inlineStr">
        <is>
          <t>high</t>
        </is>
      </c>
      <c r="I80" s="18" t="inlineStr">
        <is>
          <t>Atualizar o roteiro da Demonstracao 03 antes da gravacao de 02/09; gravar QR mostraria funcionalidade que nao existe mais.</t>
        </is>
      </c>
      <c r="J80" s="17" t="inlineStr">
        <is>
          <t>conflict</t>
        </is>
      </c>
    </row>
    <row r="81">
      <c r="A81" s="17" t="inlineStr">
        <is>
          <t>RI-2d8f93334d</t>
        </is>
      </c>
      <c r="B81" s="17" t="inlineStr">
        <is>
          <t>ECO-01</t>
        </is>
      </c>
      <c r="C81" s="17" t="inlineStr">
        <is>
          <t>SA-13</t>
        </is>
      </c>
      <c r="D81" s="18" t="inlineStr">
        <is>
          <t>O GTM tem capacidade declarada, folga explicita e data de congelamento.</t>
        </is>
      </c>
      <c r="E81" s="18" t="inlineStr">
        <is>
          <t>DOC-C06-001: '12 dias de producao, 10 gates G0-G9, 60h comprometidas, 12h reserva' sobre '72h potenciais'; fases: producao 25/08-05/09, buffer 06/09, lancamento 07/09.</t>
        </is>
      </c>
      <c r="F81" s="17" t="inlineStr">
        <is>
          <t>DOC-C06-001;DOC-C08-011;DOC-C18-002</t>
        </is>
      </c>
      <c r="G81" s="17" t="inlineStr">
        <is>
          <t>high</t>
        </is>
      </c>
      <c r="H81" s="17" t="inlineStr">
        <is>
          <t>high</t>
        </is>
      </c>
      <c r="I81" s="18" t="inlineStr">
        <is>
          <t>Manter as 12h de reserva intocadas; consumi-las antes de 04/09 e o indicador antecipado de que o freeze vai falhar.</t>
        </is>
      </c>
      <c r="J81" s="17" t="inlineStr">
        <is>
          <t>fact</t>
        </is>
      </c>
    </row>
    <row r="82">
      <c r="A82" s="17" t="inlineStr">
        <is>
          <t>RI-556888ba53</t>
        </is>
      </c>
      <c r="B82" s="17" t="inlineStr">
        <is>
          <t>ECO-01</t>
        </is>
      </c>
      <c r="C82" s="17" t="inlineStr">
        <is>
          <t>SA-13</t>
        </is>
      </c>
      <c r="D82" s="18" t="inlineStr">
        <is>
          <t>A cadeia de valor do lancamento e sequencial em dez gates, do control plane ao launch.</t>
        </is>
      </c>
      <c r="E82" s="18" t="inlineStr">
        <is>
          <t>DOC-C06-001: 'G0 Control Plane, G1 Destinos, G2 Commerce, G3 Editorial, G4 Derivados, G5 Showroom, G6 Distribuicao, G7 Tracking, G8 Freeze, G9 Launch'; regra: 'Nao: produzir tudo -&gt; acumular -&gt; tentar publicar tudo em 06/09'.</t>
        </is>
      </c>
      <c r="F82" s="17" t="inlineStr">
        <is>
          <t>DOC-C06-001;DOC-C08-011</t>
        </is>
      </c>
      <c r="G82" s="17" t="inlineStr">
        <is>
          <t>high</t>
        </is>
      </c>
      <c r="H82" s="17" t="inlineStr">
        <is>
          <t>high</t>
        </is>
      </c>
      <c r="I82" s="18" t="inlineStr">
        <is>
          <t>Reportar progresso por gate, nao por percentual de tarefas; a ordem dos gates e a unica protecao contra acumulo.</t>
        </is>
      </c>
      <c r="J82" s="17" t="inlineStr">
        <is>
          <t>fact</t>
        </is>
      </c>
    </row>
    <row r="83">
      <c r="A83" s="17" t="inlineStr">
        <is>
          <t>RI-ae148a04ef</t>
        </is>
      </c>
      <c r="B83" s="17" t="inlineStr">
        <is>
          <t>ECO-01</t>
        </is>
      </c>
      <c r="C83" s="17" t="inlineStr">
        <is>
          <t>SA-13</t>
        </is>
      </c>
      <c r="D83" s="17" t="inlineStr">
        <is>
          <t>Existem dez criterios objetivos de congelamento em 05/09.</t>
        </is>
      </c>
      <c r="E83" s="18" t="inlineStr">
        <is>
          <t>DOC-C08-007: paginas criticas abrem em celular e computador; chamadas chegam ao destino; formularios recebem; ofertas digitais cadastradas; afiliados identificados; pecas publicadas ou agendadas; demonstracoes acessiveis; redes agendadas; medicao basica funciona; nenhuma entrega critica aguardando producao.</t>
        </is>
      </c>
      <c r="F83" s="17" t="inlineStr">
        <is>
          <t>DOC-C08-007;DOC-C16-003</t>
        </is>
      </c>
      <c r="G83" s="17" t="inlineStr">
        <is>
          <t>high</t>
        </is>
      </c>
      <c r="H83" s="17" t="inlineStr">
        <is>
          <t>high</t>
        </is>
      </c>
      <c r="I83" s="18" t="inlineStr">
        <is>
          <t>Rodar os dez criterios como checklist binario em 04/09, nao em 05/09; sobra um dia para corrigir o que falhar.</t>
        </is>
      </c>
      <c r="J83" s="17" t="inlineStr">
        <is>
          <t>fact</t>
        </is>
      </c>
    </row>
    <row r="84">
      <c r="A84" s="17" t="inlineStr">
        <is>
          <t>RI-e0a1037018</t>
        </is>
      </c>
      <c r="B84" s="17" t="inlineStr">
        <is>
          <t>ECO-02</t>
        </is>
      </c>
      <c r="C84" s="17" t="inlineStr">
        <is>
          <t>SA-13</t>
        </is>
      </c>
      <c r="D84" s="18" t="inlineStr">
        <is>
          <t>A estrategia de canais foi simplificada: blog como peca-mae e um canal principal de video com playlists.</t>
        </is>
      </c>
      <c r="E84" s="18" t="inlineStr">
        <is>
          <t>DOC-C05-001: 'Blog como peca-mae editorial, YouTube com videos majoritariamente verticais, reaproveitamento em Instagram e TikTok, e LinkedIn com abordagem mais tecnica'; QL-0038: 'A estrategia de cinco canais e substituida por um canal principal com playlists'.</t>
        </is>
      </c>
      <c r="F84" s="17" t="inlineStr">
        <is>
          <t>DOC-C05-001;DOC-C07-007</t>
        </is>
      </c>
      <c r="G84" s="17" t="inlineStr">
        <is>
          <t>high</t>
        </is>
      </c>
      <c r="H84" s="17" t="inlineStr">
        <is>
          <t>medium</t>
        </is>
      </c>
      <c r="I84" s="18" t="inlineStr">
        <is>
          <t>Manter a simplificacao; com 60h comprometidas, cinco canais ativos e a forma mais rapida de estourar a capacidade.</t>
        </is>
      </c>
      <c r="J84" s="17" t="inlineStr">
        <is>
          <t>fact</t>
        </is>
      </c>
    </row>
    <row r="85">
      <c r="A85" s="17" t="inlineStr">
        <is>
          <t>RI-2fd9b71150</t>
        </is>
      </c>
      <c r="B85" s="17" t="inlineStr">
        <is>
          <t>ECO-02</t>
        </is>
      </c>
      <c r="C85" s="17" t="inlineStr">
        <is>
          <t>SA-13</t>
        </is>
      </c>
      <c r="D85" s="18" t="inlineStr">
        <is>
          <t>A campanha inaugural do Risco Cognitivo tem escopo fechado: 14 dias, 18 ativos, CTA editorial.</t>
        </is>
      </c>
      <c r="E85" s="18" t="inlineStr">
        <is>
          <t>DOC-C02-043: 'Nome: Antes do Projeto Existe o Risco Cognitivo. Duracao: 14 dias... Pacote: 1 artigo, 1 newsletter, 1 video principal, 3 videos curtos, 2 carrosseis, 6 posts curtos, 1 infografico, 1 checklist, 1 lead magnet e 1 landing page - 18 ativos principais'; cronograma D1-D14 detalhado em DOC-C02-039.</t>
        </is>
      </c>
      <c r="F85" s="17" t="inlineStr">
        <is>
          <t>DOC-C02-043;DOC-C02-039;DOC-C02-014</t>
        </is>
      </c>
      <c r="G85" s="17" t="inlineStr">
        <is>
          <t>high</t>
        </is>
      </c>
      <c r="H85" s="17" t="inlineStr">
        <is>
          <t>high</t>
        </is>
      </c>
      <c r="I85" s="18" t="inlineStr">
        <is>
          <t>Verificar se ha capacidade para a campanha de 14 dias imediatamente apos as 60h do GTM de 07/09; hoje os dois planos nao se conversam.</t>
        </is>
      </c>
      <c r="J85" s="17" t="inlineStr">
        <is>
          <t>fact</t>
        </is>
      </c>
    </row>
    <row r="86">
      <c r="A86" s="17" t="inlineStr">
        <is>
          <t>RI-ce0bea302c</t>
        </is>
      </c>
      <c r="B86" s="17" t="inlineStr">
        <is>
          <t>ECO-02</t>
        </is>
      </c>
      <c r="C86" s="17" t="inlineStr">
        <is>
          <t>SA-13</t>
        </is>
      </c>
      <c r="D86" s="18" t="inlineStr">
        <is>
          <t>Ha conflito sobre a extensao do artigo fundador entre dois documentos do mesmo pacote.</t>
        </is>
      </c>
      <c r="E86" s="18" t="inlineStr">
        <is>
          <t>DOC-C01-004 (Execute): 'Escreva primeiro aproximadamente 2.500-3.500 palavras'. DOC-C02-043 e DOC-C02-042: 'Meta atual: 1.200-1.800 palavras e 14-18 paragrafos; a proposta anterior de cerca de 3.000 palavras foi descartada' e RC-040 registra a revisao.</t>
        </is>
      </c>
      <c r="F86" s="17" t="inlineStr">
        <is>
          <t>DOC-C01-004;DOC-C02-043;DOC-C02-042;DOC-C02-014</t>
        </is>
      </c>
      <c r="G86" s="17" t="inlineStr">
        <is>
          <t>medium</t>
        </is>
      </c>
      <c r="H86" s="17" t="inlineStr">
        <is>
          <t>high</t>
        </is>
      </c>
      <c r="I86" s="18" t="inlineStr">
        <is>
          <t>Marcar DOC-C01-004 como versao superada nesse ponto especifico; sem isso o redator pode escrever o dobro do necessario.</t>
        </is>
      </c>
      <c r="J86" s="17" t="inlineStr">
        <is>
          <t>conflict</t>
        </is>
      </c>
    </row>
    <row r="87">
      <c r="A87" s="17" t="inlineStr">
        <is>
          <t>RI-6652257a91</t>
        </is>
      </c>
      <c r="B87" s="17" t="inlineStr">
        <is>
          <t>ECO-01</t>
        </is>
      </c>
      <c r="C87" s="17" t="inlineStr">
        <is>
          <t>SA-13</t>
        </is>
      </c>
      <c r="D87" s="18" t="inlineStr">
        <is>
          <t>O CTA Registry com dez destinos e requisito previo a producao de qualquer peca.</t>
        </is>
      </c>
      <c r="E87" s="18" t="inlineStr">
        <is>
          <t>DOC-C06-001: 'CTA Registry - obrigatorio antes de produzir. Assim nenhuma peca termina com adicionar CTA depois'; DOC-C02-004 registra SAS-44/CTAREG-01 com DoD '10 CTAs com destino e oferta definidos e publicados no registry'.</t>
        </is>
      </c>
      <c r="F87" s="17" t="inlineStr">
        <is>
          <t>DOC-C06-001;DOC-C02-004;DOC-C08-003</t>
        </is>
      </c>
      <c r="G87" s="17" t="inlineStr">
        <is>
          <t>high</t>
        </is>
      </c>
      <c r="H87" s="17" t="inlineStr">
        <is>
          <t>high</t>
        </is>
      </c>
      <c r="I87" s="18" t="inlineStr">
        <is>
          <t>Auditar os 10 CTAs contra destinos reais; DOC-C10-008 mostra chamada e destino ainda como [PREENCHER] nas pecas.</t>
        </is>
      </c>
      <c r="J87" s="17" t="inlineStr">
        <is>
          <t>fact</t>
        </is>
      </c>
    </row>
    <row r="88">
      <c r="A88" s="17" t="inlineStr">
        <is>
          <t>RI-6c3a67198f</t>
        </is>
      </c>
      <c r="B88" s="17" t="inlineStr">
        <is>
          <t>ECO-02</t>
        </is>
      </c>
      <c r="C88" s="17" t="inlineStr">
        <is>
          <t>SA-13</t>
        </is>
      </c>
      <c r="D88" s="18" t="inlineStr">
        <is>
          <t>As pecas editoriais estao com chamada, destino e brinde por preencher, e a agenda mestra esta vazia.</t>
        </is>
      </c>
      <c r="E88" s="18" t="inlineStr">
        <is>
          <t>DOC-C10-008: 'chamada principal: [PREENCHER] - destino: [PREENCHER] - brinde: [PREENCHER ou NAO SE APLICA]'; DOC-C14-007: todas as linhas da agenda mestra com Data 'preencher' e Estado 'planejar'.</t>
        </is>
      </c>
      <c r="F88" s="17" t="inlineStr">
        <is>
          <t>DOC-C10-008;DOC-C14-007;DOC-C10-011</t>
        </is>
      </c>
      <c r="G88" s="17" t="inlineStr">
        <is>
          <t>high</t>
        </is>
      </c>
      <c r="H88" s="17" t="inlineStr">
        <is>
          <t>high</t>
        </is>
      </c>
      <c r="I88" s="18" t="inlineStr">
        <is>
          <t>Preencher CTA e destino antes de escrever texto; a propria regra do GTM exige destino antes de producao (gate G1 antes de G3).</t>
        </is>
      </c>
      <c r="J88" s="17" t="inlineStr">
        <is>
          <t>fact</t>
        </is>
      </c>
    </row>
    <row r="89">
      <c r="A89" s="17" t="inlineStr">
        <is>
          <t>RI-ec46198819</t>
        </is>
      </c>
      <c r="B89" s="17" t="inlineStr">
        <is>
          <t>ECO-01</t>
        </is>
      </c>
      <c r="C89" s="17" t="inlineStr">
        <is>
          <t>SA-13</t>
        </is>
      </c>
      <c r="D89" s="18" t="inlineStr">
        <is>
          <t>O brinde canonico ainda e uma decisao pendente, e ele e dependencia de tres pecas editoriais.</t>
        </is>
      </c>
      <c r="E89" s="18" t="inlineStr">
        <is>
          <t>DOC-C10-029: 'Decisao pendente - Definir um unico brinde reutilizavel no lancamento'; DOC-C06-001: 'GIFT-001 e uma cadeia propria: asset -&gt; capa -&gt; landing -&gt; formulario -&gt; confirmacao -&gt; entrega/download -&gt; CTA -&gt; tracking -&gt; evidence. Se o artigo depende do GIFT-001, ele nao esta DONE enquanto essa cadeia nao funcionar'.</t>
        </is>
      </c>
      <c r="F89" s="17" t="inlineStr">
        <is>
          <t>DOC-C10-029;DOC-C06-001;DOC-C10-011;DOC-C10-019;DOC-C10-027</t>
        </is>
      </c>
      <c r="G89" s="17" t="inlineStr">
        <is>
          <t>high</t>
        </is>
      </c>
      <c r="H89" s="17" t="inlineStr">
        <is>
          <t>high</t>
        </is>
      </c>
      <c r="I89" s="18" t="inlineStr">
        <is>
          <t>Decidir o brinde unico imediatamente ou declarar as tres pecas como 'sem brinde'; e o bloqueio de maior alcance do lancamento.</t>
        </is>
      </c>
      <c r="J89" s="17" t="inlineStr">
        <is>
          <t>fact</t>
        </is>
      </c>
    </row>
    <row r="90">
      <c r="A90" s="17" t="inlineStr">
        <is>
          <t>RI-e9c9dc1f89</t>
        </is>
      </c>
      <c r="B90" s="17" t="inlineStr">
        <is>
          <t>ECO-01</t>
        </is>
      </c>
      <c r="C90" s="17" t="inlineStr">
        <is>
          <t>SA-13</t>
        </is>
      </c>
      <c r="D90" s="18" t="inlineStr">
        <is>
          <t>O dia do lancamento tem escopo negativo explicito: nada de producao em 07/09.</t>
        </is>
      </c>
      <c r="E90" s="18" t="inlineStr">
        <is>
          <t>DOC-C06-001: 'E: Ativar, Conferir, Observar, Responder, Registrar. Nao e: Editar landing, Terminar video, Produzir post, Cadastrar produto. Se isso estiver acontecendo em 07/09, o Freeze falhou'; DOC-C15-021 marca horas_planejadas 0.</t>
        </is>
      </c>
      <c r="F90" s="17" t="inlineStr">
        <is>
          <t>DOC-C06-001;DOC-C15-021</t>
        </is>
      </c>
      <c r="G90" s="17" t="inlineStr">
        <is>
          <t>high</t>
        </is>
      </c>
      <c r="H90" s="17" t="inlineStr">
        <is>
          <t>medium</t>
        </is>
      </c>
      <c r="I90" s="18" t="inlineStr">
        <is>
          <t>Usar a lista negativa como criterio de retrospectiva do lancamento; ela ja define o que contara como falha.</t>
        </is>
      </c>
      <c r="J90" s="17" t="inlineStr">
        <is>
          <t>fact</t>
        </is>
      </c>
    </row>
    <row r="91">
      <c r="A91" s="17" t="inlineStr">
        <is>
          <t>RI-9539e0f616</t>
        </is>
      </c>
      <c r="B91" s="17" t="inlineStr">
        <is>
          <t>ECO-07</t>
        </is>
      </c>
      <c r="C91" s="17" t="inlineStr">
        <is>
          <t>SA-13</t>
        </is>
      </c>
      <c r="D91" s="18" t="inlineStr">
        <is>
          <t>O GTM do servico se resume a uma pagina, um formulario e uma chamada CH-006 ainda nao funcional.</t>
        </is>
      </c>
      <c r="E91" s="18" t="inlineStr">
        <is>
          <t>DOC-C12-006 e DOC-C12-007 tem situacao 'verificar' e chamada principal CH-006; DOC-C09-006 lista 'chamada CH-006 funcionando' como pendencia; DOC-C12-003 define o formulario mas com situacao 'configurar'.</t>
        </is>
      </c>
      <c r="F91" s="17" t="inlineStr">
        <is>
          <t>DOC-C12-006;DOC-C12-007;DOC-C12-003;DOC-C09-006</t>
        </is>
      </c>
      <c r="G91" s="17" t="inlineStr">
        <is>
          <t>high</t>
        </is>
      </c>
      <c r="H91" s="17" t="inlineStr">
        <is>
          <t>high</t>
        </is>
      </c>
      <c r="I91" s="18" t="inlineStr">
        <is>
          <t>Um servico de R$700 com aquisicao 100% inbound por uma pagina precisa de prova social; sem casos, priorizar lista de interesse em vez de venda direta.</t>
        </is>
      </c>
      <c r="J91" s="17" t="inlineStr">
        <is>
          <t>fact</t>
        </is>
      </c>
    </row>
    <row r="92">
      <c r="A92" s="17" t="inlineStr">
        <is>
          <t>RI-967b5e383d</t>
        </is>
      </c>
      <c r="B92" s="17" t="inlineStr">
        <is>
          <t>ECO-01</t>
        </is>
      </c>
      <c r="C92" s="17" t="inlineStr">
        <is>
          <t>SA-08C</t>
        </is>
      </c>
      <c r="D92" s="18" t="inlineStr">
        <is>
          <t>O acervo ja possui benchmark competitivo explicito por ferramenta e por eficacia, ainda que com forca de evidencia desigual.</t>
        </is>
      </c>
      <c r="E92" s="18" t="inlineStr">
        <is>
          <t>Ferramentas: QT-000172 (Notion 30% dificil de configurar), QL-000053 (Trello sem estrutura nativa), QL-000054 (Todoist limitado para iniciar). Eficacia: QT-000177 (Inflow, estudo aberto), QT-000178/179 (videogame terapeutico aprovado, STARS-ADHD-Adult).</t>
        </is>
      </c>
      <c r="F92" s="17" t="inlineStr">
        <is>
          <t>DOC-C07-007;DOC-C07-009</t>
        </is>
      </c>
      <c r="G92" s="17" t="inlineStr">
        <is>
          <t>high</t>
        </is>
      </c>
      <c r="H92" s="17" t="inlineStr">
        <is>
          <t>medium</t>
        </is>
      </c>
      <c r="I92" s="18" t="inlineStr">
        <is>
          <t>Consolidar num quadro unico de 5 concorrentes com eixo 'estrutura x iniciacao x retomada'; o insumo ja existe e nunca foi tabulado.</t>
        </is>
      </c>
      <c r="J92" s="17" t="inlineStr">
        <is>
          <t>fact</t>
        </is>
      </c>
    </row>
    <row r="93">
      <c r="A93" s="17" t="inlineStr">
        <is>
          <t>RI-d6746942f2</t>
        </is>
      </c>
      <c r="B93" s="17" t="inlineStr">
        <is>
          <t>ECO-02</t>
        </is>
      </c>
      <c r="C93" s="17" t="inlineStr">
        <is>
          <t>SA-08A</t>
        </is>
      </c>
      <c r="D93" s="18" t="inlineStr">
        <is>
          <t>O leitor-alvo do editorial e definido pelo reconhecimento do problema, nao pelo interesse em produtividade.</t>
        </is>
      </c>
      <c r="E93" s="18" t="inlineStr">
        <is>
          <t>DOC-C01-005 troca a pergunta editorial de 'Como ser mais produtivo sendo neurodivergente?' por 'O que pode dar errado entre aquilo que voce pretende fazer e aquilo que efetivamente consegue realizar - e como reduzir esse risco?'.</t>
        </is>
      </c>
      <c r="F93" s="17" t="inlineStr">
        <is>
          <t>DOC-C01-005;DOC-C03-002;DOC-C02-043</t>
        </is>
      </c>
      <c r="G93" s="17" t="inlineStr">
        <is>
          <t>high</t>
        </is>
      </c>
      <c r="H93" s="17" t="inlineStr">
        <is>
          <t>medium</t>
        </is>
      </c>
      <c r="I93" s="18" t="inlineStr">
        <is>
          <t>Usar a segunda pergunta como teste de titulo: se o titulo respondesse a primeira pergunta, ele pertence a outra publicacao.</t>
        </is>
      </c>
      <c r="J93" s="17" t="inlineStr">
        <is>
          <t>fact</t>
        </is>
      </c>
    </row>
    <row r="94">
      <c r="A94" s="17" t="inlineStr">
        <is>
          <t>RI-4d431fd210</t>
        </is>
      </c>
      <c r="B94" s="17" t="inlineStr">
        <is>
          <t>ECO-03</t>
        </is>
      </c>
      <c r="C94" s="17" t="inlineStr">
        <is>
          <t>SA-09A</t>
        </is>
      </c>
      <c r="D94" s="18" t="inlineStr">
        <is>
          <t>Forca: a matriz Gestao de Projetos x TDAH separa nivel de evidencia (B/C) de inferencia de produto (E) linha a linha.</t>
        </is>
      </c>
      <c r="E94" s="18" t="inlineStr">
        <is>
          <t>DOC-C07-002 traz legenda explicita: 'B/C evidencia cientifica/clinica - C sustentacao clinica/publicada - E inferencia ou decisao de produto', e cada uma das 11 linhas carrega sua classificacao e sua fonte (NIMH, PubMed, Springer).</t>
        </is>
      </c>
      <c r="F94" s="17" t="inlineStr">
        <is>
          <t>DOC-C07-002;DOC-C07-003;DOC-C07-004</t>
        </is>
      </c>
      <c r="G94" s="17" t="inlineStr">
        <is>
          <t>high</t>
        </is>
      </c>
      <c r="H94" s="17" t="inlineStr">
        <is>
          <t>medium</t>
        </is>
      </c>
      <c r="I94" s="18" t="inlineStr">
        <is>
          <t>Publicar a matriz como peca de autoridade: ela demonstra o metodo epistemico melhor do que qualquer texto sobre o metodo.</t>
        </is>
      </c>
      <c r="J94" s="17" t="inlineStr">
        <is>
          <t>fact</t>
        </is>
      </c>
    </row>
    <row r="95">
      <c r="A95" s="17" t="inlineStr">
        <is>
          <t>RI-3378e28a2e</t>
        </is>
      </c>
      <c r="B95" s="17" t="inlineStr">
        <is>
          <t>ECO-04</t>
        </is>
      </c>
      <c r="C95" s="17" t="inlineStr">
        <is>
          <t>SA-01</t>
        </is>
      </c>
      <c r="D95" s="18" t="inlineStr">
        <is>
          <t>A estrutura de custo declarada para o produto fisico depende de frete internacional e impostos de importacao, ambos ainda nao quantificados.</t>
        </is>
      </c>
      <c r="E95" s="18" t="inlineStr">
        <is>
          <t>Ecossistema, Unit Economics: 'Preco do fornecedor R$ 39 | + frete internacional preencher | + impostos/importacao preencher | + frete/localizacao preencher | + embalagem Executar preencher | + etiqueta/manual/QR preencher | = Custo posto / landed cost X'.</t>
        </is>
      </c>
      <c r="F95" s="17" t="inlineStr">
        <is>
          <t>DOC-C05-001</t>
        </is>
      </c>
      <c r="G95" s="17" t="inlineStr">
        <is>
          <t>high</t>
        </is>
      </c>
      <c r="H95" s="17" t="inlineStr">
        <is>
          <t>high</t>
        </is>
      </c>
      <c r="I95" s="18" t="inlineStr">
        <is>
          <t>Antes de qualquer pre-venda, cotar frete e regime tributario de importacao de um SKU real e fechar o landed cost do Timer 45.</t>
        </is>
      </c>
      <c r="J95" s="17" t="inlineStr">
        <is>
          <t>fact</t>
        </is>
      </c>
    </row>
    <row r="96">
      <c r="A96" s="17" t="inlineStr">
        <is>
          <t>RI-ccde77aec9</t>
        </is>
      </c>
      <c r="B96" s="17" t="inlineStr">
        <is>
          <t>ECO-05</t>
        </is>
      </c>
      <c r="C96" s="17" t="inlineStr">
        <is>
          <t>SA-01</t>
        </is>
      </c>
      <c r="D96" s="18" t="inlineStr">
        <is>
          <t>A Hotmart impoe requisito de autoria e proibicao de conteudo copiado ou gerado por IA no cadastro de e-books, o que restringe o workflow de producao assistida por IA.</t>
        </is>
      </c>
      <c r="E96" s="18" t="inlineStr">
        <is>
          <t>Ecossistema: 'A Hotmart hoje tambem exige, no cadastro de e-books, identificacao de autoria e informa que o conteudo nao deve conter trechos copiados da internet ou gerados por IA.' e 'eu trataria a redacao final comercial como conteudo autoral seu, revisado e referenciado'.</t>
        </is>
      </c>
      <c r="F96" s="17" t="inlineStr">
        <is>
          <t>DOC-C05-001</t>
        </is>
      </c>
      <c r="G96" s="17" t="inlineStr">
        <is>
          <t>high</t>
        </is>
      </c>
      <c r="H96" s="17" t="inlineStr">
        <is>
          <t>high</t>
        </is>
      </c>
      <c r="I96" s="18" t="inlineStr">
        <is>
          <t>Documentar a cadeia autoral de cada e-book (pesquisa assistida vs redacao autoral) antes de submeter o cadastro na Hotmart.</t>
        </is>
      </c>
      <c r="J96" s="17" t="inlineStr">
        <is>
          <t>fact</t>
        </is>
      </c>
    </row>
    <row r="97">
      <c r="A97" s="17" t="inlineStr">
        <is>
          <t>RI-dde5086f08</t>
        </is>
      </c>
      <c r="B97" s="17" t="inlineStr">
        <is>
          <t>ECO-06</t>
        </is>
      </c>
      <c r="C97" s="17" t="inlineStr">
        <is>
          <t>SA-01</t>
        </is>
      </c>
      <c r="D97" s="18" t="inlineStr">
        <is>
          <t>Posicionar um livro digital como sintese de obra protegida de Barkley cria exposicao autoral; o acervo ja registra a correcao de posicionamento.</t>
        </is>
      </c>
      <c r="E97" s="18" t="inlineStr">
        <is>
          <t>Ecossistema, 'Um alerta importante sobre autoria': 'No documento anterior, um dos produtos era definido como uma releitura e sintese de Barkley... Nao posicionaria: Sintese pratica do livro de Barkley. Posicionaria: Guia original baseado em evidencias sobre TDAH adulto, gestao e execucao, com Barkley e outros autores como referencias bibliograficas.'</t>
        </is>
      </c>
      <c r="F97" s="17" t="inlineStr">
        <is>
          <t>DOC-C05-001</t>
        </is>
      </c>
      <c r="G97" s="17" t="inlineStr">
        <is>
          <t>high</t>
        </is>
      </c>
      <c r="H97" s="17" t="inlineStr">
        <is>
          <t>high</t>
        </is>
      </c>
      <c r="I97" s="18" t="inlineStr">
        <is>
          <t>Fixar a formulacao 'guia original com referencias bibliograficas' como trava de copy em capa, descricao e cadastro dos tres livros digitais.</t>
        </is>
      </c>
      <c r="J97" s="17" t="inlineStr">
        <is>
          <t>fact</t>
        </is>
      </c>
    </row>
    <row r="98">
      <c r="A98" s="17" t="inlineStr">
        <is>
          <t>RI-1f3414a66c</t>
        </is>
      </c>
      <c r="B98" s="17" t="inlineStr">
        <is>
          <t>ECO-04</t>
        </is>
      </c>
      <c r="C98" s="17" t="inlineStr">
        <is>
          <t>SA-01</t>
        </is>
      </c>
      <c r="D98" s="18" t="inlineStr">
        <is>
          <t>A mockup de loja fisica promete devolucao em 7 dias e frete gratis acima de R$ 199 sem que exista politica, contrato de transporte ou operacao logistica documentada no acervo.</t>
        </is>
      </c>
      <c r="E98" s="18" t="inlineStr">
        <is>
          <t>Referencia visual Office Kit (mockup executar.com/kit-tdah-planner-reprint): 'Frete gratis acima de R$ 199 | Envio rapido e seguro | 7 dias para devolucao | Compra 100% segura'. Nenhum documento de produtos fisicos define politica de troca, transportadora ou prazo.</t>
        </is>
      </c>
      <c r="F98" s="17" t="inlineStr">
        <is>
          <t>DOC-C13-008;DOC-C09-008</t>
        </is>
      </c>
      <c r="G98" s="17" t="inlineStr">
        <is>
          <t>high</t>
        </is>
      </c>
      <c r="H98" s="17" t="inlineStr">
        <is>
          <t>high</t>
        </is>
      </c>
      <c r="I98" s="18" t="inlineStr">
        <is>
          <t>Nao publicar promessas de frete e devolucao sem politica escrita e operador logistico definido; remover as promessas da peca ate existir a politica.</t>
        </is>
      </c>
      <c r="J98" s="17" t="inlineStr">
        <is>
          <t>gap</t>
        </is>
      </c>
    </row>
    <row r="99">
      <c r="A99" s="17" t="inlineStr">
        <is>
          <t>RI-792e3fcc3b</t>
        </is>
      </c>
      <c r="B99" s="17" t="inlineStr">
        <is>
          <t>ECO-04</t>
        </is>
      </c>
      <c r="C99" s="17" t="inlineStr">
        <is>
          <t>SA-02</t>
        </is>
      </c>
      <c r="D99" s="18" t="inlineStr">
        <is>
          <t>O Timer 45 enfrenta substitutos diretos e visiveis em marketplaces brasileiros, com precos de varejo entre R$ 28,46 e R$ 97,90.</t>
        </is>
      </c>
      <c r="E99" s="18" t="inlineStr">
        <is>
          <t>Referencia visual Timer 45: captura de busca 'timer 45 cubo' com Sponsored products 'Timer Cubo Pomodoro Temporizador Digital R$97,90 (de R$196) Mercado Livre', 'DQDEDIAN Temporizador Pomodoro rotativo R$95,70 Amazon.com.br', 'Produtividade cubo temporizador sensor de gravidade R$28,46 (de R$31) AliExpress'.</t>
        </is>
      </c>
      <c r="F99" s="17" t="inlineStr">
        <is>
          <t>DOC-C13-010</t>
        </is>
      </c>
      <c r="G99" s="17" t="inlineStr">
        <is>
          <t>high</t>
        </is>
      </c>
      <c r="H99" s="17" t="inlineStr">
        <is>
          <t>high</t>
        </is>
      </c>
      <c r="I99" s="18" t="inlineStr">
        <is>
          <t>Tratar o Timer 45 como item de comparacao aberta: usa-lo como componente do kit e nao como SKU de margem.</t>
        </is>
      </c>
      <c r="J99" s="17" t="inlineStr">
        <is>
          <t>fact</t>
        </is>
      </c>
    </row>
    <row r="100">
      <c r="A100" s="17" t="inlineStr">
        <is>
          <t>RI-e9d2a9ae5a</t>
        </is>
      </c>
      <c r="B100" s="17" t="inlineStr">
        <is>
          <t>ECO-04</t>
        </is>
      </c>
      <c r="C100" s="17" t="inlineStr">
        <is>
          <t>SA-02</t>
        </is>
      </c>
      <c r="D100" s="18" t="inlineStr">
        <is>
          <t>O preco de fornecedor citado (R$ 39) esta na mesma faixa do preco de varejo do substituto mais barato observado (R$ 28,46), o que comprime a margem do SKU isolado.</t>
        </is>
      </c>
      <c r="E100" s="18" t="inlineStr">
        <is>
          <t>Ecossistema: 'No caso do Timer, os R$ 39 que voce mencionou sao apenas o preco de aquisicao aparente, nao o custo real do produto para o negocio'; captura de mercado mostra AliExpress a R$ 28,46 e Mercado Livre a R$ 97,90.</t>
        </is>
      </c>
      <c r="F100" s="17" t="inlineStr">
        <is>
          <t>DOC-C05-001;DOC-C13-010</t>
        </is>
      </c>
      <c r="G100" s="17" t="inlineStr">
        <is>
          <t>high</t>
        </is>
      </c>
      <c r="H100" s="17" t="inlineStr">
        <is>
          <t>high</t>
        </is>
      </c>
      <c r="I100" s="18" t="inlineStr">
        <is>
          <t>Recotar fornecedor e verificar se o R$ 39 sobrevive ao landed cost; se nao, comprar o timer como componente e nunca revende-lo isolado.</t>
        </is>
      </c>
      <c r="J100" s="17" t="inlineStr">
        <is>
          <t>inference</t>
        </is>
      </c>
    </row>
    <row r="101">
      <c r="A101" s="17" t="inlineStr">
        <is>
          <t>RI-81610f1300</t>
        </is>
      </c>
      <c r="B101" s="17" t="inlineStr">
        <is>
          <t>ECO-04</t>
        </is>
      </c>
      <c r="C101" s="17" t="inlineStr">
        <is>
          <t>SA-02</t>
        </is>
      </c>
      <c r="D101" s="18" t="inlineStr">
        <is>
          <t>Nenhum fornecedor, prazo de entrega, lote minimo ou contrato aparece nomeado em qualquer documento da linha fisica.</t>
        </is>
      </c>
      <c r="E101" s="18" t="inlineStr">
        <is>
          <t>DOC-C09-008 lista apenas 'Produto | Funcao | Situacao para lancamento' sem fornecedor; a cadeia de custo em DOC-C05-001 traz todos os componentes como 'preencher'.</t>
        </is>
      </c>
      <c r="F101" s="17" t="inlineStr">
        <is>
          <t>DOC-C09-008;DOC-C05-001</t>
        </is>
      </c>
      <c r="G101" s="17" t="inlineStr">
        <is>
          <t>high</t>
        </is>
      </c>
      <c r="H101" s="17" t="inlineStr">
        <is>
          <t>high</t>
        </is>
      </c>
      <c r="I101" s="18" t="inlineStr">
        <is>
          <t>Nomear ao menos um fornecedor por SKU com MOQ e lead time antes de abrir pre-venda com prazo de entrega explicito.</t>
        </is>
      </c>
      <c r="J101" s="17" t="inlineStr">
        <is>
          <t>gap</t>
        </is>
      </c>
    </row>
    <row r="102">
      <c r="A102" s="17" t="inlineStr">
        <is>
          <t>RI-9f9ca0591e</t>
        </is>
      </c>
      <c r="B102" s="17" t="inlineStr">
        <is>
          <t>ECO-05</t>
        </is>
      </c>
      <c r="C102" s="17" t="inlineStr">
        <is>
          <t>SA-02</t>
        </is>
      </c>
      <c r="D102" s="18" t="inlineStr">
        <is>
          <t>O mercado de e-books de TDAH observado esta ancorado em preco baixo, o que limita o poder de preco do infoproduto de entrada.</t>
        </is>
      </c>
      <c r="E102" s="18" t="inlineStr">
        <is>
          <t>Ecossistema, Benchmark e-books: 'Ha ofertas de TDAH por R$ 19,90, R$ 27, R$ 29,90 e R$ 37,90; um e-book comercial da Artmed de Barkley, muito mais extenso e editorialmente tradicional, esta em R$ 97,28.'</t>
        </is>
      </c>
      <c r="F102" s="17" t="inlineStr">
        <is>
          <t>DOC-C05-001</t>
        </is>
      </c>
      <c r="G102" s="17" t="inlineStr">
        <is>
          <t>high</t>
        </is>
      </c>
      <c r="H102" s="17" t="inlineStr">
        <is>
          <t>medium</t>
        </is>
      </c>
      <c r="I102" s="18" t="inlineStr">
        <is>
          <t>Sustentar o preco por interatividade e ferramentas, nao por volume de paginas, e evitar competir na faixa de R$ 9,90.</t>
        </is>
      </c>
      <c r="J102" s="17" t="inlineStr">
        <is>
          <t>fact</t>
        </is>
      </c>
    </row>
    <row r="103">
      <c r="A103" s="17" t="inlineStr">
        <is>
          <t>RI-3c7bab3512</t>
        </is>
      </c>
      <c r="B103" s="17" t="inlineStr">
        <is>
          <t>ECO-05</t>
        </is>
      </c>
      <c r="C103" s="17" t="inlineStr">
        <is>
          <t>SA-02</t>
        </is>
      </c>
      <c r="D103" s="18" t="inlineStr">
        <is>
          <t>O benchmark de cursos vai de R$ 89,90 a R$ 1.997, e o acervo decide explicitamente nao competir nos extremos.</t>
        </is>
      </c>
      <c r="E103" s="18" t="inlineStr">
        <is>
          <t>Ecossistema, Benchmark curso: 'Curso introdutorio/profissional de TDAH 12h, 16 aulas R$ 89,90 | Curso neurodivergencia/trabalho 15+ aulas R$ 97 | Escola ampla 200+ aulas R$ 197 | Programa Ana Beatriz ~R$ 196 | Programa guiado 7 encontros R$ 197 | Programa premium TDAH 2.0 90 dias, 75 aulas, app/IA R$ 1.997'; 'Seu curso de entrada nao deve tentar competir com o programa de R$ 1.997 nem com uma formacao clinica de 12 horas.'</t>
        </is>
      </c>
      <c r="F103" s="17" t="inlineStr">
        <is>
          <t>DOC-C05-001</t>
        </is>
      </c>
      <c r="G103" s="17" t="inlineStr">
        <is>
          <t>high</t>
        </is>
      </c>
      <c r="H103" s="17" t="inlineStr">
        <is>
          <t>medium</t>
        </is>
      </c>
      <c r="I103" s="18" t="inlineStr">
        <is>
          <t>Manter o curso na faixa R$ 97 no lancamento e reservar programas acompanhados para outra categoria de oferta.</t>
        </is>
      </c>
      <c r="J103" s="17" t="inlineStr">
        <is>
          <t>fact</t>
        </is>
      </c>
    </row>
    <row r="104">
      <c r="A104" s="17" t="inlineStr">
        <is>
          <t>RI-f0e55617c6</t>
        </is>
      </c>
      <c r="B104" s="17" t="inlineStr">
        <is>
          <t>ECO-08</t>
        </is>
      </c>
      <c r="C104" s="17" t="inlineStr">
        <is>
          <t>SA-02</t>
        </is>
      </c>
      <c r="D104" s="18" t="inlineStr">
        <is>
          <t>Os quatro canais de distribuicao previstos sao plataformas de terceiros, e o proprio acervo faz essa correcao terminologica.</t>
        </is>
      </c>
      <c r="E104" s="18" t="inlineStr">
        <is>
          <t>Ecossistema: 'Eu so faria uma correcao terminologica importante: Instagram, YouTube, TikTok e LinkedIn nao sao plataformas proprietarias; sao plataformas alugadas/terceiras'; a arquitetura separa OWNED 01-04 de DISTRIBUICAO 01-04.</t>
        </is>
      </c>
      <c r="F104" s="17" t="inlineStr">
        <is>
          <t>DOC-C05-001;DOC-C14-004;DOC-C14-005;DOC-C14-006</t>
        </is>
      </c>
      <c r="G104" s="17" t="inlineStr">
        <is>
          <t>high</t>
        </is>
      </c>
      <c r="H104" s="17" t="inlineStr">
        <is>
          <t>medium</t>
        </is>
      </c>
      <c r="I104" s="18" t="inlineStr">
        <is>
          <t>Medir cada peca por conversao para ativo proprio (biblioteca, newsletter) e nao por metrica nativa de plataforma alugada.</t>
        </is>
      </c>
      <c r="J104" s="17" t="inlineStr">
        <is>
          <t>fact</t>
        </is>
      </c>
    </row>
    <row r="105">
      <c r="A105" s="17" t="inlineStr">
        <is>
          <t>RI-9de5c075ea</t>
        </is>
      </c>
      <c r="B105" s="17" t="inlineStr">
        <is>
          <t>ECO-08</t>
        </is>
      </c>
      <c r="C105" s="17" t="inlineStr">
        <is>
          <t>SA-03A</t>
        </is>
      </c>
      <c r="D105" s="18" t="inlineStr">
        <is>
          <t>O acervo trata Risco Cognitivo como criacao de categoria editorial antes de mercado, o que inverte a logica usual de estrutura de mercado.</t>
        </is>
      </c>
      <c r="E105" s="18" t="inlineStr">
        <is>
          <t>BMC, Proposta de valor: 'Transformar Risco Cognitivo em uma categoria editorial e investigavel antes de conecta-la ao produto'; Problema: 'Apresentar o EXECUTAR cedo demais pode reduzir a credibilidade da investigacao'.</t>
        </is>
      </c>
      <c r="F105" s="17" t="inlineStr">
        <is>
          <t>DOC-C02-039;DOC-C02-042</t>
        </is>
      </c>
      <c r="G105" s="17" t="inlineStr">
        <is>
          <t>high</t>
        </is>
      </c>
      <c r="H105" s="17" t="inlineStr">
        <is>
          <t>medium</t>
        </is>
      </c>
      <c r="I105" s="18" t="inlineStr">
        <is>
          <t>Manter a separacao entre a campanha de categoria e a campanha de oferta, com CTAs distintos e medicao separada.</t>
        </is>
      </c>
      <c r="J105" s="17" t="inlineStr">
        <is>
          <t>fact</t>
        </is>
      </c>
    </row>
    <row r="106">
      <c r="A106" s="17" t="inlineStr">
        <is>
          <t>RI-1b30c7c11b</t>
        </is>
      </c>
      <c r="B106" s="17" t="inlineStr">
        <is>
          <t>ECO-04</t>
        </is>
      </c>
      <c r="C106" s="17" t="inlineStr">
        <is>
          <t>SA-03C</t>
        </is>
      </c>
      <c r="D106" s="18" t="inlineStr">
        <is>
          <t>Nao existe SAM para a linha fisica; o SAM do acervo (R$ 357,3 mi) e do projeto agregado, alem de conflitar com um segundo valor de SAM (R$ 6,0 mi) no mesmo dashboard.</t>
        </is>
      </c>
      <c r="E106" s="18" t="inlineStr">
        <is>
          <t>Dashboard QT-0132: 'SAM estimado', grupo_segmento 'Projeto Neuroexecucao Aplicada', valor_pontual 357300000.0, base_amostral 'Nao informada na imagem'; ha ainda um registro com indicador 'SAM' e valor_pontual 6000000.0 no mesmo conjunto.</t>
        </is>
      </c>
      <c r="F106" s="17" t="inlineStr">
        <is>
          <t>DOC-C07-009</t>
        </is>
      </c>
      <c r="G106" s="17" t="inlineStr">
        <is>
          <t>medium</t>
        </is>
      </c>
      <c r="H106" s="17" t="inlineStr">
        <is>
          <t>low</t>
        </is>
      </c>
      <c r="I106" s="18" t="inlineStr">
        <is>
          <t>Nao usar nenhum dos dois SAM antes de identificar de qual imagem cada um veio e qual base amostral sustenta cada valor.</t>
        </is>
      </c>
      <c r="J106" s="17" t="inlineStr">
        <is>
          <t>conflict</t>
        </is>
      </c>
    </row>
    <row r="107">
      <c r="A107" s="17" t="inlineStr">
        <is>
          <t>RI-9b9b00e7e1</t>
        </is>
      </c>
      <c r="B107" s="17" t="inlineStr">
        <is>
          <t>ECO-04</t>
        </is>
      </c>
      <c r="C107" s="17" t="inlineStr">
        <is>
          <t>SA-04A</t>
        </is>
      </c>
      <c r="D107" s="18" t="inlineStr">
        <is>
          <t>A unica segmentacao explicita da linha fisica e de genero, e vem de uma peca visual, nao de documento de oferta.</t>
        </is>
      </c>
      <c r="E107" s="18" t="inlineStr">
        <is>
          <t>Referencia visual de organizacao fisica: mockup 'executar.com/kit-semanal-masculino' com titulo 'Kit Semanal Masculino', 'Organizar - Usar - Lavar' e sacos SEG a DOM; DOC-C09-008 descreve o item apenas como 'Kit de organizacao fisica | rotina por dias'.</t>
        </is>
      </c>
      <c r="F107" s="17" t="inlineStr">
        <is>
          <t>DOC-C13-009;DOC-C09-008</t>
        </is>
      </c>
      <c r="G107" s="17" t="inlineStr">
        <is>
          <t>medium</t>
        </is>
      </c>
      <c r="H107" s="17" t="inlineStr">
        <is>
          <t>medium</t>
        </is>
      </c>
      <c r="I107" s="18" t="inlineStr">
        <is>
          <t>Decidir se o kit de organizacao e neutro (rotina por dias) ou segmentado por genero; hoje a peca e o documento divergem.</t>
        </is>
      </c>
      <c r="J107" s="17" t="inlineStr">
        <is>
          <t>conflict</t>
        </is>
      </c>
    </row>
    <row r="108">
      <c r="A108" s="17" t="inlineStr">
        <is>
          <t>RI-5c5faeda36</t>
        </is>
      </c>
      <c r="B108" s="17" t="inlineStr">
        <is>
          <t>ECO-08</t>
        </is>
      </c>
      <c r="C108" s="17" t="inlineStr">
        <is>
          <t>SA-04A</t>
        </is>
      </c>
      <c r="D108" s="18" t="inlineStr">
        <is>
          <t>A audiencia-alvo do ecossistema editorial esta definida por interesse tematico, com especialistas em papel de critica e nao de endosso.</t>
        </is>
      </c>
      <c r="E108" s="18" t="inlineStr">
        <is>
          <t>BMC, Publico/validacao: 'Leitores interessados em funcoes executivas, neurodivergencia, trabalho, projetos e risco; especialistas entram como critica externa, nao como endosso'.</t>
        </is>
      </c>
      <c r="F108" s="17" t="inlineStr">
        <is>
          <t>DOC-C02-039</t>
        </is>
      </c>
      <c r="G108" s="17" t="inlineStr">
        <is>
          <t>high</t>
        </is>
      </c>
      <c r="H108" s="17" t="inlineStr">
        <is>
          <t>medium</t>
        </is>
      </c>
      <c r="I108" s="18" t="inlineStr">
        <is>
          <t>Manter dois funis separados: leitores (lista/newsletter) e especialistas (critica ao framework), com abordagens e metricas distintas.</t>
        </is>
      </c>
      <c r="J108" s="17" t="inlineStr">
        <is>
          <t>fact</t>
        </is>
      </c>
    </row>
    <row r="109">
      <c r="A109" s="17" t="inlineStr">
        <is>
          <t>RI-d4abeba0f9</t>
        </is>
      </c>
      <c r="B109" s="17" t="inlineStr">
        <is>
          <t>ECO-04</t>
        </is>
      </c>
      <c r="C109" s="17" t="inlineStr">
        <is>
          <t>SA-04B</t>
        </is>
      </c>
      <c r="D109" s="18" t="inlineStr">
        <is>
          <t>Nao existe ICP proprio da linha fisica; o unico perfil detalhado do acervo e o do usuario do aplicativo e nao pode ser herdado.</t>
        </is>
      </c>
      <c r="E109" s="18" t="inlineStr">
        <is>
          <t>O perfil detalhado em DOC-C05-001 ('Homens, adultos, neurodivergentes, autonomos, na faixa dos 25-35 anos, recem-diagnosticados...') esta na secao Publico do Master Index do produto de software; DOC-C09-008 nao define comprador.</t>
        </is>
      </c>
      <c r="F109" s="17" t="inlineStr">
        <is>
          <t>DOC-C05-001;DOC-C09-008</t>
        </is>
      </c>
      <c r="G109" s="17" t="inlineStr">
        <is>
          <t>high</t>
        </is>
      </c>
      <c r="H109" s="17" t="inlineStr">
        <is>
          <t>high</t>
        </is>
      </c>
      <c r="I109" s="18" t="inlineStr">
        <is>
          <t>Definir o comprador do kit fisico separadamente do usuario do app: quem compra papelaria, com que gatilho e a que preco.</t>
        </is>
      </c>
      <c r="J109" s="17" t="inlineStr">
        <is>
          <t>gap</t>
        </is>
      </c>
    </row>
    <row r="110">
      <c r="A110" s="17" t="inlineStr">
        <is>
          <t>RI-3fff3be776</t>
        </is>
      </c>
      <c r="B110" s="17" t="inlineStr">
        <is>
          <t>ECO-05</t>
        </is>
      </c>
      <c r="C110" s="17" t="inlineStr">
        <is>
          <t>SA-04B</t>
        </is>
      </c>
      <c r="D110" s="18" t="inlineStr">
        <is>
          <t>Nao existe ICP proprio do infoproduto; o curso e definido por estrutura (4 modulos) e nao por comprador.</t>
        </is>
      </c>
      <c r="E110" s="18" t="inlineStr">
        <is>
          <t>DOC-C09-013 traz apenas 'Estrutura: 4 modulos: Entender, Estruturar, Executar, Evoluir' e a lista 'Para fechar no lancamento: descricao e promessa; estrutura dos modulos; condicao de lancamento; pagina/cadastro; chamada CH-005'.</t>
        </is>
      </c>
      <c r="F110" s="17" t="inlineStr">
        <is>
          <t>DOC-C09-013;DOC-C09-016</t>
        </is>
      </c>
      <c r="G110" s="17" t="inlineStr">
        <is>
          <t>high</t>
        </is>
      </c>
      <c r="H110" s="17" t="inlineStr">
        <is>
          <t>high</t>
        </is>
      </c>
      <c r="I110" s="18" t="inlineStr">
        <is>
          <t>Escrever a descricao e promessa do curso a partir de um comprador nomeado; hoje a promessa e um item aberto da checklist.</t>
        </is>
      </c>
      <c r="J110" s="17" t="inlineStr">
        <is>
          <t>gap</t>
        </is>
      </c>
    </row>
    <row r="111">
      <c r="A111" s="17" t="inlineStr">
        <is>
          <t>RI-ea3ba29275</t>
        </is>
      </c>
      <c r="B111" s="17" t="inlineStr">
        <is>
          <t>ECO-08</t>
        </is>
      </c>
      <c r="C111" s="17" t="inlineStr">
        <is>
          <t>SA-04B</t>
        </is>
      </c>
      <c r="D111" s="18" t="inlineStr">
        <is>
          <t>O acervo registra como lacuna a ausencia de confirmacao de disposicao a pagar do publico-alvo para minicurso e kit fisico.</t>
        </is>
      </c>
      <c r="E111" s="18" t="inlineStr">
        <is>
          <t>Dashboard QL-000059, subtema 'Lacuna de disposicao de pagamento': 'O documento identifica como lacuna a ausencia de confirmacao sobre a disposicao real do publico-alvo em pagar pela solucao proposta (minicurso e kit fisico), apontando isso como algo a validar antes de escalar'; acao: 'Desenhar experimento especifico de venda/pre-venda antes de investir'.</t>
        </is>
      </c>
      <c r="F111" s="17" t="inlineStr">
        <is>
          <t>DOC-C07-009</t>
        </is>
      </c>
      <c r="G111" s="17" t="inlineStr">
        <is>
          <t>high</t>
        </is>
      </c>
      <c r="H111" s="17" t="inlineStr">
        <is>
          <t>high</t>
        </is>
      </c>
      <c r="I111" s="18" t="inlineStr">
        <is>
          <t>Transformar o lancamento de 07/09 em experimento de disposicao a pagar com pre-venda medida, e nao apenas em publicacao.</t>
        </is>
      </c>
      <c r="J111" s="17" t="inlineStr">
        <is>
          <t>gap</t>
        </is>
      </c>
    </row>
    <row r="112">
      <c r="A112" s="17" t="inlineStr">
        <is>
          <t>RI-bf1a5f4636</t>
        </is>
      </c>
      <c r="B112" s="17" t="inlineStr">
        <is>
          <t>ECO-04</t>
        </is>
      </c>
      <c r="C112" s="17" t="inlineStr">
        <is>
          <t>SA-04C</t>
        </is>
      </c>
      <c r="D112" s="18" t="inlineStr">
        <is>
          <t>Cada SKU fisico tem uma funcao declarada dentro de um sistema, o que da a linha uma taxonomia de jobs em vez de um catalogo de objetos.</t>
        </is>
      </c>
      <c r="E112" s="18" t="inlineStr">
        <is>
          <t>Ecossistema: 'Neurobook = planejar e registrar, Timer = executar, Organizacao = reduzir decisoes cotidianas, Office Kit = sistema integrado'; e 'nao vender uma colecao de objetos, mas mostrar que cada objeto ocupa uma funcao dentro de um sistema'.</t>
        </is>
      </c>
      <c r="F112" s="17" t="inlineStr">
        <is>
          <t>DOC-C05-001;DOC-C09-008</t>
        </is>
      </c>
      <c r="G112" s="17" t="inlineStr">
        <is>
          <t>high</t>
        </is>
      </c>
      <c r="H112" s="17" t="inlineStr">
        <is>
          <t>medium</t>
        </is>
      </c>
      <c r="I112" s="18" t="inlineStr">
        <is>
          <t>Usar essa frase de quatro funcoes como estrutura literal da pagina de produto e do card de cada SKU.</t>
        </is>
      </c>
      <c r="J112" s="17" t="inlineStr">
        <is>
          <t>fact</t>
        </is>
      </c>
    </row>
    <row r="113">
      <c r="A113" s="17" t="inlineStr">
        <is>
          <t>RI-cec8a6fa3f</t>
        </is>
      </c>
      <c r="B113" s="17" t="inlineStr">
        <is>
          <t>ECO-05</t>
        </is>
      </c>
      <c r="C113" s="17" t="inlineStr">
        <is>
          <t>SA-04C</t>
        </is>
      </c>
      <c r="D113" s="18" t="inlineStr">
        <is>
          <t>O 4E organiza os jobs do infoproduto como quatro perguntas do usuario, o que da criterio para decidir o que entra em cada modulo.</t>
        </is>
      </c>
      <c r="E113" s="18" t="inlineStr">
        <is>
          <t>Ecossistema, Espinha editorial 4E: 'E1 ENTENDER - O que esta acontecendo e por que? | E2 ESTRUTURAR - O que preciso mudar no ambiente ou sistema? | E3 EXECUTAR - O que faco concretamente agora? | E4 EVOLUIR - Como sei se funcionou e o que ajusto?'.</t>
        </is>
      </c>
      <c r="F113" s="17" t="inlineStr">
        <is>
          <t>DOC-C05-001;DOC-C09-016</t>
        </is>
      </c>
      <c r="G113" s="17" t="inlineStr">
        <is>
          <t>high</t>
        </is>
      </c>
      <c r="H113" s="17" t="inlineStr">
        <is>
          <t>medium</t>
        </is>
      </c>
      <c r="I113" s="18" t="inlineStr">
        <is>
          <t>Validar cada aula e capitulo contra a pergunta do seu E; o que nao responde a pergunta sai do escopo de lancamento.</t>
        </is>
      </c>
      <c r="J113" s="17" t="inlineStr">
        <is>
          <t>fact</t>
        </is>
      </c>
    </row>
    <row r="114">
      <c r="A114" s="17" t="inlineStr">
        <is>
          <t>RI-366bce470f</t>
        </is>
      </c>
      <c r="B114" s="17" t="inlineStr">
        <is>
          <t>ECO-08</t>
        </is>
      </c>
      <c r="C114" s="17" t="inlineStr">
        <is>
          <t>SA-04C</t>
        </is>
      </c>
      <c r="D114" s="18" t="inlineStr">
        <is>
          <t>A CTA de cada peca e determinada pelo nivel de consciencia do leitor, com regras explicitas do que nao empurrar.</t>
        </is>
      </c>
      <c r="E114" s="18" t="inlineStr">
        <is>
          <t>Ecossistema, 'CTA por nivel de consciencia': 'Baixa - nao empurre Produto - CTA Entenda o que esta acontecendo | Problema - nao empurre Servico - Veja como isso funciona na pratica | Solucao - nao empurre Venda agressiva - Baixar o guia / ver o tutorial | Metodo - Aplicar com o e-book / curso | Alta intencao - Experimentar Executar / conhecer Studio'.</t>
        </is>
      </c>
      <c r="F114" s="17" t="inlineStr">
        <is>
          <t>DOC-C05-001</t>
        </is>
      </c>
      <c r="G114" s="17" t="inlineStr">
        <is>
          <t>high</t>
        </is>
      </c>
      <c r="H114" s="17" t="inlineStr">
        <is>
          <t>high</t>
        </is>
      </c>
      <c r="I114" s="18" t="inlineStr">
        <is>
          <t>Vincular cada chamada do registro CH-001 a CH-010 a um nivel de consciencia antes de publicar as pecas editoriais.</t>
        </is>
      </c>
      <c r="J114" s="17" t="inlineStr">
        <is>
          <t>fact</t>
        </is>
      </c>
    </row>
    <row r="115">
      <c r="A115" s="17" t="inlineStr">
        <is>
          <t>RI-fbf5a66c48</t>
        </is>
      </c>
      <c r="B115" s="17" t="inlineStr">
        <is>
          <t>ECO-04</t>
        </is>
      </c>
      <c r="C115" s="17" t="inlineStr">
        <is>
          <t>SA-04D</t>
        </is>
      </c>
      <c r="D115" s="18" t="inlineStr">
        <is>
          <t>Nao existe nenhuma fala, entrevista ou pesquisa de cliente sobre produtos fisicos no acervo lido.</t>
        </is>
      </c>
      <c r="E115" s="18" t="inlineStr">
        <is>
          <t>As unicas falas em primeira pessoa do acervo estao no Master Index do aplicativo em DOC-C05-001 e tratam de uso de app, nao de papelaria; DOC-C09-008 e DOC-C13-004 nao contem voz de cliente.</t>
        </is>
      </c>
      <c r="F115" s="17" t="inlineStr">
        <is>
          <t>DOC-C05-001;DOC-C09-008;DOC-C13-004</t>
        </is>
      </c>
      <c r="G115" s="17" t="inlineStr">
        <is>
          <t>high</t>
        </is>
      </c>
      <c r="H115" s="17" t="inlineStr">
        <is>
          <t>high</t>
        </is>
      </c>
      <c r="I115" s="18" t="inlineStr">
        <is>
          <t>Coletar 5 a 10 respostas de intencao na propria lista de interesse do Office Kit antes de comprar micro lote.</t>
        </is>
      </c>
      <c r="J115" s="17" t="inlineStr">
        <is>
          <t>gap</t>
        </is>
      </c>
    </row>
    <row r="116">
      <c r="A116" s="17" t="inlineStr">
        <is>
          <t>RI-36ff4cfffe</t>
        </is>
      </c>
      <c r="B116" s="17" t="inlineStr">
        <is>
          <t>ECO-04</t>
        </is>
      </c>
      <c r="C116" s="17" t="inlineStr">
        <is>
          <t>SA-05</t>
        </is>
      </c>
      <c r="D116" s="18" t="inlineStr">
        <is>
          <t>A concorrencia da linha fisica esta documentada apenas para o Timer, por captura de busca com tres ofertas patrocinadas e um resultado de marketplace.</t>
        </is>
      </c>
      <c r="E116" s="18" t="inlineStr">
        <is>
          <t>Referencia visual Timer 45: 'Sponsored products' com R$97,90 (Mercado Livre), R$95,70 (Amazon.com.br), R$28,46 (AliExpress) e 'Sponsored result: Temporizador Cubo | Mercado Livre ... Rating 4.7 - 2,450 reviews'.</t>
        </is>
      </c>
      <c r="F116" s="17" t="inlineStr">
        <is>
          <t>DOC-C13-010</t>
        </is>
      </c>
      <c r="G116" s="17" t="inlineStr">
        <is>
          <t>high</t>
        </is>
      </c>
      <c r="H116" s="17" t="inlineStr">
        <is>
          <t>medium</t>
        </is>
      </c>
      <c r="I116" s="18" t="inlineStr">
        <is>
          <t>Repetir a mesma captura para caderno/planner e para saquinhos organizadores; sem isso o preco do Neurobook fica sem ancora.</t>
        </is>
      </c>
      <c r="J116" s="17" t="inlineStr">
        <is>
          <t>fact</t>
        </is>
      </c>
    </row>
    <row r="117">
      <c r="A117" s="17" t="inlineStr">
        <is>
          <t>RI-2d7e81f394</t>
        </is>
      </c>
      <c r="B117" s="17" t="inlineStr">
        <is>
          <t>ECO-06</t>
        </is>
      </c>
      <c r="C117" s="17" t="inlineStr">
        <is>
          <t>SA-05</t>
        </is>
      </c>
      <c r="D117" s="18" t="inlineStr">
        <is>
          <t>Nao ha mapeamento competitivo do livro autoral de Risco Cognitivo, e o acervo alerta explicitamente contra tratar a ausencia de concorrente como prova de ineditismo.</t>
        </is>
      </c>
      <c r="E117" s="18" t="inlineStr">
        <is>
          <t>MASTER_INDEX RC-016: 'Nao foi encontrado na pesquisa executada um framework consolidado que una TDAH/funcoes executivas + risco endogeno + gestao de projetos + controles compensatorios... O whitespace e promissor, mas ausencia em busca nao equivale a inexistencia academica'; BMC, Riscos: 'Tratar a ausencia de um framework equivalente nas buscas como prova de ineditismo pode comprometer a credibilidade'.</t>
        </is>
      </c>
      <c r="F117" s="17" t="inlineStr">
        <is>
          <t>DOC-C02-002;DOC-C02-039</t>
        </is>
      </c>
      <c r="G117" s="17" t="inlineStr">
        <is>
          <t>high</t>
        </is>
      </c>
      <c r="H117" s="17" t="inlineStr">
        <is>
          <t>medium</t>
        </is>
      </c>
      <c r="I117" s="18" t="inlineStr">
        <is>
          <t>Condicionar qualquer reivindicacao de ineditismo do livro a uma scoping review concluida, como ja previsto no plano.</t>
        </is>
      </c>
      <c r="J117" s="17" t="inlineStr">
        <is>
          <t>fact</t>
        </is>
      </c>
    </row>
    <row r="118">
      <c r="A118" s="17" t="inlineStr">
        <is>
          <t>RI-79d85480db</t>
        </is>
      </c>
      <c r="B118" s="17" t="inlineStr">
        <is>
          <t>ECO-05</t>
        </is>
      </c>
      <c r="C118" s="17" t="inlineStr">
        <is>
          <t>SA-06A</t>
        </is>
      </c>
      <c r="D118" s="18" t="inlineStr">
        <is>
          <t>O acervo atribui aos infoprodutos o papel de motor de margem do ecossistema.</t>
        </is>
      </c>
      <c r="E118" s="18" t="inlineStr">
        <is>
          <t>Dashboard QL-0039, subtema 'Ecossistema de retencao': 'Infoprodutos sao propostos como motor de margem e produtos fisicos como retencao e marca'; acao secundaria: 'Validar economia unitaria e vinculo real entre fisico e retencao'.</t>
        </is>
      </c>
      <c r="F118" s="17" t="inlineStr">
        <is>
          <t>DOC-C07-009</t>
        </is>
      </c>
      <c r="G118" s="17" t="inlineStr">
        <is>
          <t>high</t>
        </is>
      </c>
      <c r="H118" s="17" t="inlineStr">
        <is>
          <t>high</t>
        </is>
      </c>
      <c r="I118" s="18" t="inlineStr">
        <is>
          <t>Tratar a linha digital como a que precisa de margem comprovada no lancamento e a fisica como investimento de marca com teto de estoque.</t>
        </is>
      </c>
      <c r="J118" s="17" t="inlineStr">
        <is>
          <t>fact</t>
        </is>
      </c>
    </row>
    <row r="119">
      <c r="A119" s="17" t="inlineStr">
        <is>
          <t>RI-ee533d3d30</t>
        </is>
      </c>
      <c r="B119" s="17" t="inlineStr">
        <is>
          <t>ECO-04</t>
        </is>
      </c>
      <c r="C119" s="17" t="inlineStr">
        <is>
          <t>SA-06A</t>
        </is>
      </c>
      <c r="D119" s="18" t="inlineStr">
        <is>
          <t>O papel atribuido aos produtos fisicos e retencao e marca, e nao geracao primaria de margem.</t>
        </is>
      </c>
      <c r="E119" s="18" t="inlineStr">
        <is>
          <t>Dashboard QL-0039: 'Infoprodutos sao propostos como motor de margem e produtos fisicos como retencao e marca'; Ecossistema, papel do bundle: 'Nao precisa maximizar margem percentual; deve maximizar margem absoluta + ticket + conversao'.</t>
        </is>
      </c>
      <c r="F119" s="17" t="inlineStr">
        <is>
          <t>DOC-C07-009;DOC-C05-001</t>
        </is>
      </c>
      <c r="G119" s="17" t="inlineStr">
        <is>
          <t>high</t>
        </is>
      </c>
      <c r="H119" s="17" t="inlineStr">
        <is>
          <t>high</t>
        </is>
      </c>
      <c r="I119" s="18" t="inlineStr">
        <is>
          <t>Nao exigir do fisico o retorno de um produto de margem; medi-lo por ticket medio, recompra de reposicoes e vinculo com o app.</t>
        </is>
      </c>
      <c r="J119" s="17" t="inlineStr">
        <is>
          <t>fact</t>
        </is>
      </c>
    </row>
    <row r="120">
      <c r="A120" s="17" t="inlineStr">
        <is>
          <t>RI-12897ed9a5</t>
        </is>
      </c>
      <c r="B120" s="17" t="inlineStr">
        <is>
          <t>ECO-05</t>
        </is>
      </c>
      <c r="C120" s="17" t="inlineStr">
        <is>
          <t>SA-06A</t>
        </is>
      </c>
      <c r="D120" s="18" t="inlineStr">
        <is>
          <t>A escada comercial declarada tem sete degraus, do conteudo gratuito ao servico personalizado, com precos indicativos nos degraus 1 a 4.</t>
        </is>
      </c>
      <c r="E120" s="18" t="inlineStr">
        <is>
          <t>Ecossistema, 'A arquitetura comercial completa': '0 Blog/videos/materiais Gratuito Descoberta | 1 E-book individual R$ 39,90 Primeira compra | 2 3 e-books R$ 99-129 Biblioteca aplicada | 3 Curso Gerenciando TDAH Adulto R$ 97 Transformacao guiada | 4 Curso + biblioteca R$ 197 Oferta principal | 5 Produto fisico + digital Futuro Ecossistema | 6 Servico personalizado Categoria propria'.</t>
        </is>
      </c>
      <c r="F120" s="17" t="inlineStr">
        <is>
          <t>DOC-C05-001</t>
        </is>
      </c>
      <c r="G120" s="17" t="inlineStr">
        <is>
          <t>high</t>
        </is>
      </c>
      <c r="H120" s="17" t="inlineStr">
        <is>
          <t>high</t>
        </is>
      </c>
      <c r="I120" s="18" t="inlineStr">
        <is>
          <t>Publicar apenas os degraus 0 a 4 no lancamento; o degrau 5 esta marcado como 'Futuro' no proprio documento.</t>
        </is>
      </c>
      <c r="J120" s="17" t="inlineStr">
        <is>
          <t>fact</t>
        </is>
      </c>
    </row>
    <row r="121">
      <c r="A121" s="17" t="inlineStr">
        <is>
          <t>RI-278c1b706d</t>
        </is>
      </c>
      <c r="B121" s="17" t="inlineStr">
        <is>
          <t>ECO-04</t>
        </is>
      </c>
      <c r="C121" s="17" t="inlineStr">
        <is>
          <t>SA-06A</t>
        </is>
      </c>
      <c r="D121" s="18" t="inlineStr">
        <is>
          <t>A linha fisica tem arquitetura comercial em cinco niveis, com reposicoes previstas como receita recorrente.</t>
        </is>
      </c>
      <c r="E121" s="18" t="inlineStr">
        <is>
          <t>Ecossistema, 'Arquitetura comercial da linha': 'Entrada Timer 45 / Kit Organizacao | Core Neurobook | Bundle Executar Office Kit | Upsell Componentes adicionais / reposicoes / reprints | Integracao QR / App Executar / templates'; e 'Reposicoes: Reprints, etiquetas, paginas, acessorios - Receita recorrente fisica'.</t>
        </is>
      </c>
      <c r="F121" s="17" t="inlineStr">
        <is>
          <t>DOC-C05-001;DOC-C09-008</t>
        </is>
      </c>
      <c r="G121" s="17" t="inlineStr">
        <is>
          <t>high</t>
        </is>
      </c>
      <c r="H121" s="17" t="inlineStr">
        <is>
          <t>medium</t>
        </is>
      </c>
      <c r="I121" s="18" t="inlineStr">
        <is>
          <t>Desenhar o Neurobook desde o inicio com paginas reponiveis; a receita recorrente depende de decisao de produto tomada agora.</t>
        </is>
      </c>
      <c r="J121" s="17" t="inlineStr">
        <is>
          <t>fact</t>
        </is>
      </c>
    </row>
    <row r="122">
      <c r="A122" s="17" t="inlineStr">
        <is>
          <t>RI-6cdfb5481c</t>
        </is>
      </c>
      <c r="B122" s="17" t="inlineStr">
        <is>
          <t>ECO-08</t>
        </is>
      </c>
      <c r="C122" s="17" t="inlineStr">
        <is>
          <t>SA-06A</t>
        </is>
      </c>
      <c r="D122" s="18" t="inlineStr">
        <is>
          <t>A monetizacao do ecossistema editorial esta ordenada como cadeia unica, com afiliado no primeiro degrau.</t>
        </is>
      </c>
      <c r="E122" s="18" t="inlineStr">
        <is>
          <t>Ecossistema, Biblioteca Executar, campo Monetizacao: 'Afiliado, e-book, curso, produto, servico'; e cadeia de valor editorial '09 Livro afiliado Aprofundamento externo | 10 E-book Aplicacao estruturada | 11 Curso Aplicacao guiada | 12 Executar / Studio Implementacao'.</t>
        </is>
      </c>
      <c r="F122" s="17" t="inlineStr">
        <is>
          <t>DOC-C05-001;DOC-C09-018</t>
        </is>
      </c>
      <c r="G122" s="17" t="inlineStr">
        <is>
          <t>high</t>
        </is>
      </c>
      <c r="H122" s="17" t="inlineStr">
        <is>
          <t>medium</t>
        </is>
      </c>
      <c r="I122" s="18" t="inlineStr">
        <is>
          <t>Medir receita por conteudo e nao por canal, como ja previsto em AF-08, para saber qual peca sustenta qual degrau.</t>
        </is>
      </c>
      <c r="J122" s="17" t="inlineStr">
        <is>
          <t>fact</t>
        </is>
      </c>
    </row>
    <row r="123">
      <c r="A123" s="17" t="inlineStr">
        <is>
          <t>RI-9ed8cef91f</t>
        </is>
      </c>
      <c r="B123" s="17" t="inlineStr">
        <is>
          <t>ECO-06</t>
        </is>
      </c>
      <c r="C123" s="17" t="inlineStr">
        <is>
          <t>SA-06A</t>
        </is>
      </c>
      <c r="D123" s="18" t="inlineStr">
        <is>
          <t>O livro autoral de Risco Cognitivo aparece como ultimo degrau de uma escada de maturidade intelectual, nao como oferta do lancamento.</t>
        </is>
      </c>
      <c r="E123" s="18" t="inlineStr">
        <is>
          <t>MASTER_INDEX RC-028, 'Escada de maturidade', status DECIDIDO, prazo DEPOIS: 'Evolucao sugerida: artigo/manifesto v0, white paper/framework v1, aplicacao no EXECUTAR, casos/dados, artigo academico, livro/curso'; texto 2.txt, Entregue: 'white paper/livro/curso = expansao intelectual, mantendo cada estagio condicionado a validacao do anterior'.</t>
        </is>
      </c>
      <c r="F123" s="17" t="inlineStr">
        <is>
          <t>DOC-C02-002;DOC-C02-042</t>
        </is>
      </c>
      <c r="G123" s="17" t="inlineStr">
        <is>
          <t>high</t>
        </is>
      </c>
      <c r="H123" s="17" t="inlineStr">
        <is>
          <t>medium</t>
        </is>
      </c>
      <c r="I123" s="18" t="inlineStr">
        <is>
          <t>Retirar o livro autoral de qualquer promessa de 07/09; ele esta condicionado a artigo fundador, scoping review e white paper.</t>
        </is>
      </c>
      <c r="J123" s="17" t="inlineStr">
        <is>
          <t>fact</t>
        </is>
      </c>
    </row>
    <row r="124">
      <c r="A124" s="17" t="inlineStr">
        <is>
          <t>RI-461375cca0</t>
        </is>
      </c>
      <c r="B124" s="17" t="inlineStr">
        <is>
          <t>ECO-04</t>
        </is>
      </c>
      <c r="C124" s="17" t="inlineStr">
        <is>
          <t>SA-06B</t>
        </is>
      </c>
      <c r="D124" s="18" t="inlineStr">
        <is>
          <t>A estrutura de economia unitaria da linha fisica esta completamente definida como formula e completamente vazia como numero.</t>
        </is>
      </c>
      <c r="E124" s="18" t="inlineStr">
        <is>
          <t>Ecossistema, Unit Economics: componentes 'frete internacional', 'impostos/importacao', 'frete/localizacao', 'embalagem Executar', 'etiqueta/manual/QR' todos com valor 'preencher'; 'Custo posto / landed cost X', 'Custo variavel total Y', 'Preco de venda P', 'Margem de contribuicao P menos Y'; unico valor real: 'Preco do fornecedor R$ 39'.</t>
        </is>
      </c>
      <c r="F124" s="17" t="inlineStr">
        <is>
          <t>DOC-C05-001</t>
        </is>
      </c>
      <c r="G124" s="17" t="inlineStr">
        <is>
          <t>high</t>
        </is>
      </c>
      <c r="H124" s="17" t="inlineStr">
        <is>
          <t>high</t>
        </is>
      </c>
      <c r="I124" s="18" t="inlineStr">
        <is>
          <t>Preencher a coluna de custo de um SKU real (Timer 45) esta semana; sem Y nao existe preco defensavel.</t>
        </is>
      </c>
      <c r="J124" s="17" t="inlineStr">
        <is>
          <t>gap</t>
        </is>
      </c>
    </row>
    <row r="125">
      <c r="A125" s="17" t="inlineStr">
        <is>
          <t>RI-94a356d8dd</t>
        </is>
      </c>
      <c r="B125" s="17" t="inlineStr">
        <is>
          <t>ECO-04</t>
        </is>
      </c>
      <c r="C125" s="17" t="inlineStr">
        <is>
          <t>SA-06B</t>
        </is>
      </c>
      <c r="D125" s="18" t="inlineStr">
        <is>
          <t>O unico calculo de bundle do acervo e explicitamente rotulado como exemplo matematico e nao como preco decidido.</t>
        </is>
      </c>
      <c r="E125" s="18" t="inlineStr">
        <is>
          <t>Ecossistema: 'Exemplo apenas matematico: Neurobook R$ 149 + Timer R$ 119 + Organizacao R$ 79 + acessorios R$ 99 = R$ 446. Se o kit for R$ 369, o cliente percebe R$ 77 de economia / ~17% de desconto. Mas o desconto so e saudavel se o custo total ainda deixar a margem de contribuicao desejada.'</t>
        </is>
      </c>
      <c r="F125" s="17" t="inlineStr">
        <is>
          <t>DOC-C05-001</t>
        </is>
      </c>
      <c r="G125" s="17" t="inlineStr">
        <is>
          <t>high</t>
        </is>
      </c>
      <c r="H125" s="17" t="inlineStr">
        <is>
          <t>high</t>
        </is>
      </c>
      <c r="I125" s="18" t="inlineStr">
        <is>
          <t>Nao publicar R$ 369 nem R$ 349 como preco antes de rodar as seis etapas de estruturacao de desconto descritas no proprio documento.</t>
        </is>
      </c>
      <c r="J125" s="17" t="inlineStr">
        <is>
          <t>fact</t>
        </is>
      </c>
    </row>
    <row r="126">
      <c r="A126" s="17" t="inlineStr">
        <is>
          <t>RI-b8bab5eff7</t>
        </is>
      </c>
      <c r="B126" s="17" t="inlineStr">
        <is>
          <t>ECO-04</t>
        </is>
      </c>
      <c r="C126" s="17" t="inlineStr">
        <is>
          <t>SA-06B</t>
        </is>
      </c>
      <c r="D126" s="18" t="inlineStr">
        <is>
          <t>O risco financeiro dominante da linha fisica esta nomeado como capital de giro, e nao como CapEx.</t>
        </is>
      </c>
      <c r="E126" s="18" t="inlineStr">
        <is>
          <t>Ecossistema, CapEx x OpEx: 'Estoque - Timers, Neurobooks, saquinhos e kits comprados para revenda - Ativo circulante / estoque, nao simplesmente OpEx'; 'Capital de giro - Dinheiro preso entre compra do produto e recebimento da venda - Este e um dos riscos principais desta linha fisica'; 'Quanto dinheiro eu quero imobilizar em estoque antes de provar que existe demanda?'.</t>
        </is>
      </c>
      <c r="F126" s="17" t="inlineStr">
        <is>
          <t>DOC-C05-001;DOC-C09-008</t>
        </is>
      </c>
      <c r="G126" s="17" t="inlineStr">
        <is>
          <t>high</t>
        </is>
      </c>
      <c r="H126" s="17" t="inlineStr">
        <is>
          <t>high</t>
        </is>
      </c>
      <c r="I126" s="18" t="inlineStr">
        <is>
          <t>Manter a Fase 01 (0-1 amostra) ate ter numero de lista de interesse; a regra de nao imobilizar estoque ja e politica declarada.</t>
        </is>
      </c>
      <c r="J126" s="17" t="inlineStr">
        <is>
          <t>fact</t>
        </is>
      </c>
    </row>
    <row r="127">
      <c r="A127" s="17" t="inlineStr">
        <is>
          <t>RI-ee53c9c818</t>
        </is>
      </c>
      <c r="B127" s="17" t="inlineStr">
        <is>
          <t>ECO-04</t>
        </is>
      </c>
      <c r="C127" s="17" t="inlineStr">
        <is>
          <t>SA-06B</t>
        </is>
      </c>
      <c r="D127" s="18" t="inlineStr">
        <is>
          <t>A politica de margem da linha fisica e deliberadamente nao fixada, por desconhecimento de custo posto e de elasticidade.</t>
        </is>
      </c>
      <c r="E127" s="18" t="inlineStr">
        <is>
          <t>Ecossistema: 'Eu nao fixaria ainda o Timer precisa dar 60% ou o Neurobook precisa dar 50%. Primeiro estabeleceria faixas internas de teste, porque voce ainda nao conhece o custo posto nem a elasticidade da demanda'; classes: Timer 'margem mais disciplinada', Kit Organizacao 'margem pode vir mais do design', Neurobook 'maior liberdade de preco', Office Kit 'maximizar margem absoluta + ticket + conversao'.</t>
        </is>
      </c>
      <c r="F127" s="17" t="inlineStr">
        <is>
          <t>DOC-C05-001</t>
        </is>
      </c>
      <c r="G127" s="17" t="inlineStr">
        <is>
          <t>high</t>
        </is>
      </c>
      <c r="H127" s="17" t="inlineStr">
        <is>
          <t>medium</t>
        </is>
      </c>
      <c r="I127" s="18" t="inlineStr">
        <is>
          <t>Registrar faixas internas de margem por classe de SKU como decisao formal antes da pagina de produto ir ao ar.</t>
        </is>
      </c>
      <c r="J127" s="17" t="inlineStr">
        <is>
          <t>fact</t>
        </is>
      </c>
    </row>
    <row r="128">
      <c r="A128" s="17" t="inlineStr">
        <is>
          <t>RI-0e3022ffd5</t>
        </is>
      </c>
      <c r="B128" s="17" t="inlineStr">
        <is>
          <t>ECO-05</t>
        </is>
      </c>
      <c r="C128" s="17" t="inlineStr">
        <is>
          <t>SA-06B</t>
        </is>
      </c>
      <c r="D128" s="18" t="inlineStr">
        <is>
          <t>Os precos de infoproduto estao decididos em tres niveis para o e-book e quatro momentos para o curso.</t>
        </is>
      </c>
      <c r="E128" s="18" t="inlineStr">
        <is>
          <t>Ecossistema: 'Minha escolha inicial - Preco cheio: R$ 49,90; Preco de lancamento: R$ 39,90; Early adopter limitado: R$ 29,90'; curso: 'Turma/beta inicial R$ 79-97 | Lancamento R$ 97 | Preco regular apos validacao R$ 147 | Curso + 3 e-books R$ 197'; escada 'R$ 39,90 e-book, R$ 97 curso, R$ 197 bundle/ecossistema'.</t>
        </is>
      </c>
      <c r="F128" s="17" t="inlineStr">
        <is>
          <t>DOC-C05-001;DOC-C09-013</t>
        </is>
      </c>
      <c r="G128" s="17" t="inlineStr">
        <is>
          <t>high</t>
        </is>
      </c>
      <c r="H128" s="17" t="inlineStr">
        <is>
          <t>high</t>
        </is>
      </c>
      <c r="I128" s="18" t="inlineStr">
        <is>
          <t>Transportar esses precos para o cadastro Hotmart e para a pagina propria como numeros unicos; hoje o campo preco de DOC-C09-015 esta vazio.</t>
        </is>
      </c>
      <c r="J128" s="17" t="inlineStr">
        <is>
          <t>fact</t>
        </is>
      </c>
    </row>
    <row r="129">
      <c r="A129" s="17" t="inlineStr">
        <is>
          <t>RI-2460629301</t>
        </is>
      </c>
      <c r="B129" s="17" t="inlineStr">
        <is>
          <t>ECO-05</t>
        </is>
      </c>
      <c r="C129" s="17" t="inlineStr">
        <is>
          <t>SA-06B</t>
        </is>
      </c>
      <c r="D129" s="18" t="inlineStr">
        <is>
          <t>Nao existe custo de producao do e-book nem do curso: nenhuma hora, diaria, ferramenta ou terceirizacao esta precificada.</t>
        </is>
      </c>
      <c r="E129" s="18" t="inlineStr">
        <is>
          <t>Ecossistema define o padrao de producao ('12-16 capitulos', '~60-100 paginas visuais', '18-24 aulas', 'Video total ~2,5-4 horas') mas nao atribui custo; o acervo diz que aqui 'o raciocinio nao deve ser primariamente custo + markup' e sim 'valor percebido, benchmark, posicionamento, taxa do canal, CAC, margem de contribuicao' - e o CAC tambem nao existe.</t>
        </is>
      </c>
      <c r="F129" s="17" t="inlineStr">
        <is>
          <t>DOC-C05-001</t>
        </is>
      </c>
      <c r="G129" s="17" t="inlineStr">
        <is>
          <t>high</t>
        </is>
      </c>
      <c r="H129" s="17" t="inlineStr">
        <is>
          <t>medium</t>
        </is>
      </c>
      <c r="I129" s="18" t="inlineStr">
        <is>
          <t>Estimar custo em horas proprias por e-book usando a capacidade de 6h/dia ja declarada; sem isso a margem e apenas margem de canal.</t>
        </is>
      </c>
      <c r="J129" s="17" t="inlineStr">
        <is>
          <t>gap</t>
        </is>
      </c>
    </row>
    <row r="130">
      <c r="A130" s="17" t="inlineStr">
        <is>
          <t>RI-aead0fcdc8</t>
        </is>
      </c>
      <c r="B130" s="17" t="inlineStr">
        <is>
          <t>ECO-06</t>
        </is>
      </c>
      <c r="C130" s="17" t="inlineStr">
        <is>
          <t>SA-06B</t>
        </is>
      </c>
      <c r="D130" s="18" t="inlineStr">
        <is>
          <t>Nao ha preco, condicao ou modelo de receita definido para os livros digitais: o item consta como pendencia aberta.</t>
        </is>
      </c>
      <c r="E130" s="18" t="inlineStr">
        <is>
          <t>DOC-C09-011, 'Para fechar': 'capa e descricao; estrutura 4E; formato interativo + PDF complementar; preco/condicao inicial; pagina propria; cadastro Hotmart; chamada CH-004' - todos os tres titulos com Estado 'estruturar cadastro'.</t>
        </is>
      </c>
      <c r="F130" s="17" t="inlineStr">
        <is>
          <t>DOC-C09-011</t>
        </is>
      </c>
      <c r="G130" s="17" t="inlineStr">
        <is>
          <t>high</t>
        </is>
      </c>
      <c r="H130" s="17" t="inlineStr">
        <is>
          <t>high</t>
        </is>
      </c>
      <c r="I130" s="18" t="inlineStr">
        <is>
          <t>Aplicar a faixa ja decidida em DOC-C05-001 (R$ 39,90 lancamento) aos tres titulos e registrar a decisao na propria nota de oferta.</t>
        </is>
      </c>
      <c r="J130" s="17" t="inlineStr">
        <is>
          <t>gap</t>
        </is>
      </c>
    </row>
    <row r="131">
      <c r="A131" s="17" t="inlineStr">
        <is>
          <t>RI-1648056efd</t>
        </is>
      </c>
      <c r="B131" s="17" t="inlineStr">
        <is>
          <t>ECO-04</t>
        </is>
      </c>
      <c r="C131" s="17" t="inlineStr">
        <is>
          <t>SA-07A</t>
        </is>
      </c>
      <c r="D131" s="18" t="inlineStr">
        <is>
          <t>A cadeia fisica declarada vai de compra para revenda a CMV, mas nenhum elo operacional (fornecedor, importacao, armazenagem, expedicao) tem responsavel ou processo.</t>
        </is>
      </c>
      <c r="E131" s="18" t="inlineStr">
        <is>
          <t>Ecossistema: 'Estoque - Timers, Neurobooks, saquinhos e kits comprados para revenda'; 'CMV - Custo do produto efetivamente vendido - O estoque transforma-se em Custo da Mercadoria Vendida quando ocorre a venda'; a fase 03 prevê 'Micro lote - Descobrir custo real, devolucoes e margem'.</t>
        </is>
      </c>
      <c r="F131" s="17" t="inlineStr">
        <is>
          <t>DOC-C05-001</t>
        </is>
      </c>
      <c r="G131" s="17" t="inlineStr">
        <is>
          <t>high</t>
        </is>
      </c>
      <c r="H131" s="17" t="inlineStr">
        <is>
          <t>high</t>
        </is>
      </c>
      <c r="I131" s="18" t="inlineStr">
        <is>
          <t>Mapear os elos de suprimento e expedicao como tarefas com dono antes de aceitar o primeiro pedido pago.</t>
        </is>
      </c>
      <c r="J131" s="17" t="inlineStr">
        <is>
          <t>gap</t>
        </is>
      </c>
    </row>
    <row r="132">
      <c r="A132" s="17" t="inlineStr">
        <is>
          <t>RI-0fc5619e68</t>
        </is>
      </c>
      <c r="B132" s="17" t="inlineStr">
        <is>
          <t>ECO-05</t>
        </is>
      </c>
      <c r="C132" s="17" t="inlineStr">
        <is>
          <t>SA-07A</t>
        </is>
      </c>
      <c r="D132" s="18" t="inlineStr">
        <is>
          <t>A cadeia do infoproduto esta desenhada em duas trilhas paralelas: edicao interativa na store propria e edicao PDF/EPUB com area de membros na Hotmart.</t>
        </is>
      </c>
      <c r="E132" s="18" t="inlineStr">
        <is>
          <t>Ecossistema: 'Executar Store: Interactive Edition + PDF Edition | Hotmart: Experiencia em area de membros + PDF/EPUB complementar. Assim voce nao precisa degradar o produto inteiro ao formato PDF.'</t>
        </is>
      </c>
      <c r="F132" s="17" t="inlineStr">
        <is>
          <t>DOC-C05-001;DOC-C09-016</t>
        </is>
      </c>
      <c r="G132" s="17" t="inlineStr">
        <is>
          <t>high</t>
        </is>
      </c>
      <c r="H132" s="17" t="inlineStr">
        <is>
          <t>medium</t>
        </is>
      </c>
      <c r="I132" s="18" t="inlineStr">
        <is>
          <t>Definir qual das duas trilhas existe em 07/09; manter as duas exige o dobro de producao dentro da mesma capacidade de 6h.</t>
        </is>
      </c>
      <c r="J132" s="17" t="inlineStr">
        <is>
          <t>fact</t>
        </is>
      </c>
    </row>
    <row r="133">
      <c r="A133" s="17" t="inlineStr">
        <is>
          <t>RI-3dd1d99644</t>
        </is>
      </c>
      <c r="B133" s="17" t="inlineStr">
        <is>
          <t>ECO-08</t>
        </is>
      </c>
      <c r="C133" s="17" t="inlineStr">
        <is>
          <t>SA-07A</t>
        </is>
      </c>
      <c r="D133" s="18" t="inlineStr">
        <is>
          <t>A cadeia de producao editorial esta definida como uma fonte canonica com doze projecoes, o que e a mecanica central do flywheel.</t>
        </is>
      </c>
      <c r="E133" s="18" t="inlineStr">
        <is>
          <t>Ecossistema, 'Regra de producao: uma fonte, varios outputs': '01 Questao editorial, 02 Pesquisa + fontes, 03 Artigo canonico, 04 Diagrama/infografico canonico, 05 Video principal, 06 2-4 Shorts/Reels, 07 Carrossel, 08 Post LinkedIn, 09 Newsletter, 10 Entrada na Biblioteca, 11 Trecho reaproveitavel no e-book/curso, 12 CTA de aprofundamento'; 'Nao sao doze conteudos diferentes. E um conteudo com doze projecoes.'</t>
        </is>
      </c>
      <c r="F133" s="17" t="inlineStr">
        <is>
          <t>DOC-C05-001;DOC-C14-004;DOC-C14-005;DOC-C14-006</t>
        </is>
      </c>
      <c r="G133" s="17" t="inlineStr">
        <is>
          <t>high</t>
        </is>
      </c>
      <c r="H133" s="17" t="inlineStr">
        <is>
          <t>high</t>
        </is>
      </c>
      <c r="I133" s="18" t="inlineStr">
        <is>
          <t>Instanciar as doze projecoes como checklist no registro de cada peca; as notas PUB atuais so tem tarefa e evidencia.</t>
        </is>
      </c>
      <c r="J133" s="17" t="inlineStr">
        <is>
          <t>fact</t>
        </is>
      </c>
    </row>
    <row r="134">
      <c r="A134" s="17" t="inlineStr">
        <is>
          <t>RI-1ef08960e3</t>
        </is>
      </c>
      <c r="B134" s="17" t="inlineStr">
        <is>
          <t>ECO-06</t>
        </is>
      </c>
      <c r="C134" s="17" t="inlineStr">
        <is>
          <t>SA-07A</t>
        </is>
      </c>
      <c r="D134" s="18" t="inlineStr">
        <is>
          <t>A cadeia de valor do livro autoral esta definida como sequencia condicionada, cada estagio dependendo da validacao do anterior.</t>
        </is>
      </c>
      <c r="E134" s="18" t="inlineStr">
        <is>
          <t>texto 2.txt, Agora-Processo: 'A ordem correta e artigo fundador, campanha editorial, sinais de audiencia, scoping review, critica externa, framework v1, piloto, white paper, aplicacao no EXECUTAR, casos/dados, livro/curso/artigo academico'.</t>
        </is>
      </c>
      <c r="F134" s="17" t="inlineStr">
        <is>
          <t>DOC-C02-042;DOC-C02-002</t>
        </is>
      </c>
      <c r="G134" s="17" t="inlineStr">
        <is>
          <t>high</t>
        </is>
      </c>
      <c r="H134" s="17" t="inlineStr">
        <is>
          <t>medium</t>
        </is>
      </c>
      <c r="I134" s="18" t="inlineStr">
        <is>
          <t>Publicar o artigo fundador e medir sinais de audiencia como gate G1 do livro; nenhum estagio posterior deve comecar antes.</t>
        </is>
      </c>
      <c r="J134" s="17" t="inlineStr">
        <is>
          <t>fact</t>
        </is>
      </c>
    </row>
    <row r="135">
      <c r="A135" s="17" t="inlineStr">
        <is>
          <t>RI-b520f91c34</t>
        </is>
      </c>
      <c r="B135" s="17" t="inlineStr">
        <is>
          <t>ECO-04</t>
        </is>
      </c>
      <c r="C135" s="17" t="inlineStr">
        <is>
          <t>SA-07B</t>
        </is>
      </c>
      <c r="D135" s="18" t="inlineStr">
        <is>
          <t>Nenhuma capacidade de suprimento, importacao, estoque ou logistica reversa aparece declarada no acervo, embora a linha dependa dela.</t>
        </is>
      </c>
      <c r="E135" s="18" t="inlineStr">
        <is>
          <t>O somatorio de capacidade nao lista frente de suprimento: 'Central, rotas e chamadas 12 | Ofertas e cadastros 6 | Tres pecas editoriais 15 | Demonstracoes 15 | Publicacao e agenda 5 | Teste e conferencia 7 | Total 60'.</t>
        </is>
      </c>
      <c r="F135" s="17" t="inlineStr">
        <is>
          <t>DOC-C08-008;DOC-C09-008</t>
        </is>
      </c>
      <c r="G135" s="17" t="inlineStr">
        <is>
          <t>high</t>
        </is>
      </c>
      <c r="H135" s="17" t="inlineStr">
        <is>
          <t>high</t>
        </is>
      </c>
      <c r="I135" s="18" t="inlineStr">
        <is>
          <t>Ou adquirir a capacidade (parceiro de fulfillment) ou manter a linha fisica em lista de interesse ate depois do lancamento.</t>
        </is>
      </c>
      <c r="J135" s="17" t="inlineStr">
        <is>
          <t>gap</t>
        </is>
      </c>
    </row>
    <row r="136">
      <c r="A136" s="17" t="inlineStr">
        <is>
          <t>RI-e5a0021698</t>
        </is>
      </c>
      <c r="B136" s="17" t="inlineStr">
        <is>
          <t>ECO-05</t>
        </is>
      </c>
      <c r="C136" s="17" t="inlineStr">
        <is>
          <t>SA-07B</t>
        </is>
      </c>
      <c r="D136" s="18" t="inlineStr">
        <is>
          <t>A edicao interativa exige capacidade de desenvolvimento web (salvar progresso, quizzes, personalizacao, exportacao) que nao esta orcada em horas.</t>
        </is>
      </c>
      <c r="E136" s="18" t="inlineStr">
        <is>
          <t>Ecossistema, 'O que torna o e-book realmente interativo': 'Botoes, escolhas, checklists, quizzes, formularios, templates', 'Personalizacao: Resultado das respostas muda a proxima recomendacao', 'Salvar progresso', 'Exportar', 'Retomada'; 'A experiencia interna fica mais proxima de um microaplicativo editorial'.</t>
        </is>
      </c>
      <c r="F136" s="17" t="inlineStr">
        <is>
          <t>DOC-C05-001</t>
        </is>
      </c>
      <c r="G136" s="17" t="inlineStr">
        <is>
          <t>high</t>
        </is>
      </c>
      <c r="H136" s="17" t="inlineStr">
        <is>
          <t>high</t>
        </is>
      </c>
      <c r="I136" s="18" t="inlineStr">
        <is>
          <t>Para 07/09, entregar a edicao PDF/estatica e tratar a edicao interativa como roadmap, ou o e-book vira um projeto de software.</t>
        </is>
      </c>
      <c r="J136" s="17" t="inlineStr">
        <is>
          <t>inference</t>
        </is>
      </c>
    </row>
    <row r="137">
      <c r="A137" s="17" t="inlineStr">
        <is>
          <t>RI-d0ffd924f9</t>
        </is>
      </c>
      <c r="B137" s="17" t="inlineStr">
        <is>
          <t>ECO-08</t>
        </is>
      </c>
      <c r="C137" s="17" t="inlineStr">
        <is>
          <t>SA-07B</t>
        </is>
      </c>
      <c r="D137" s="18" t="inlineStr">
        <is>
          <t>A capacidade total do operador esta declarada em 6 horas executaveis por dia, com 60h comprometidas e 12h de reserva ate 05/09.</t>
        </is>
      </c>
      <c r="E137" s="18" t="inlineStr">
        <is>
          <t>Ecossistema: 'Com sua capacidade operacional ja definida de 6 horas executaveis/dia, existem 72 horas potenciais nesses 12 dias. Minha recomendacao: 60h comprometidas + 12h de reserva. Ou seja: planejar apenas 83% da capacidade'; DOC-C08-008 repete 'Total comprometido 60 | Reserva 12 | Capacidade total estimada 72'.</t>
        </is>
      </c>
      <c r="F137" s="17" t="inlineStr">
        <is>
          <t>DOC-C05-001;DOC-C08-008</t>
        </is>
      </c>
      <c r="G137" s="17" t="inlineStr">
        <is>
          <t>high</t>
        </is>
      </c>
      <c r="H137" s="17" t="inlineStr">
        <is>
          <t>high</t>
        </is>
      </c>
      <c r="I137" s="18" t="inlineStr">
        <is>
          <t>Usar as 72h como restricao dura de escopo: qualquer nova frente entra retirando outra, nunca somando.</t>
        </is>
      </c>
      <c r="J137" s="17" t="inlineStr">
        <is>
          <t>fact</t>
        </is>
      </c>
    </row>
    <row r="138">
      <c r="A138" s="17" t="inlineStr">
        <is>
          <t>RI-9010d66d37</t>
        </is>
      </c>
      <c r="B138" s="17" t="inlineStr">
        <is>
          <t>ECO-04</t>
        </is>
      </c>
      <c r="C138" s="17" t="inlineStr">
        <is>
          <t>SA-08A</t>
        </is>
      </c>
      <c r="D138" s="18" t="inlineStr">
        <is>
          <t>A empresa define o Office Kit como hero product e a linha fisica como sistema integrado, com roupas explicitamente fora da primeira fase.</t>
        </is>
      </c>
      <c r="E138" s="18" t="inlineStr">
        <is>
          <t>Ecossistema, Master Index Produtos Fisicos: 'P0 Executar Office Kit - Produto principal / bundle - Prioridade maxima. Pre-venda/teste de intencao antes de estoque relevante'; 'P4 Roupas - Fora do escopo atual - As roupas mostradas no conceito visual nao entram nesta primeira fase - Nao lancar agora'.</t>
        </is>
      </c>
      <c r="F138" s="17" t="inlineStr">
        <is>
          <t>DOC-C05-001;DOC-C09-008</t>
        </is>
      </c>
      <c r="G138" s="17" t="inlineStr">
        <is>
          <t>high</t>
        </is>
      </c>
      <c r="H138" s="17" t="inlineStr">
        <is>
          <t>high</t>
        </is>
      </c>
      <c r="I138" s="17" t="inlineStr">
        <is>
          <t>Manter P4 fora de toda peca publica de 07/09.</t>
        </is>
      </c>
      <c r="J138" s="17" t="inlineStr">
        <is>
          <t>fact</t>
        </is>
      </c>
    </row>
    <row r="139">
      <c r="A139" s="17" t="inlineStr">
        <is>
          <t>RI-60bb874d73</t>
        </is>
      </c>
      <c r="B139" s="17" t="inlineStr">
        <is>
          <t>ECO-05</t>
        </is>
      </c>
      <c r="C139" s="17" t="inlineStr">
        <is>
          <t>SA-08A</t>
        </is>
      </c>
      <c r="D139" s="18" t="inlineStr">
        <is>
          <t>A empresa define o curso como produto-mae e os e-books como recortes aplicados, e nao como quatro produtos independentes.</t>
        </is>
      </c>
      <c r="E139" s="18" t="inlineStr">
        <is>
          <t>Ecossistema: 'Eu nao trataria o curso e os tres e-books como quatro conteudos independentes. O curso e o produto-mae; os e-books sao recortes aplicados e aprofundamentos'; DOC-C09-016: 'Livros digitais funcionam como produto de entrada e aplicacao. Curso funciona como aplicacao guiada.'</t>
        </is>
      </c>
      <c r="F139" s="17" t="inlineStr">
        <is>
          <t>DOC-C05-001;DOC-C09-016</t>
        </is>
      </c>
      <c r="G139" s="17" t="inlineStr">
        <is>
          <t>high</t>
        </is>
      </c>
      <c r="H139" s="17" t="inlineStr">
        <is>
          <t>medium</t>
        </is>
      </c>
      <c r="I139" s="18" t="inlineStr">
        <is>
          <t>Refletir essa hierarquia na loja e na biblioteca: e-book como entrada, curso como destino, bundle como oferta principal.</t>
        </is>
      </c>
      <c r="J139" s="17" t="inlineStr">
        <is>
          <t>fact</t>
        </is>
      </c>
    </row>
    <row r="140">
      <c r="A140" s="17" t="inlineStr">
        <is>
          <t>RI-8af9bd838a</t>
        </is>
      </c>
      <c r="B140" s="17" t="inlineStr">
        <is>
          <t>ECO-05</t>
        </is>
      </c>
      <c r="C140" s="17" t="inlineStr">
        <is>
          <t>SA-08B</t>
        </is>
      </c>
      <c r="D140" s="18" t="inlineStr">
        <is>
          <t>Do lado do cliente, o acervo tem estrutura de produto detalhada e nenhuma evidencia de demanda validada para infoprodutos.</t>
        </is>
      </c>
      <c r="E140" s="18" t="inlineStr">
        <is>
          <t>Dashboard QL-000058, 'Decisao de Gate 1 - testar mais': 'A equipe decidiu, no Gate 1 do processo, que o proximo passo e testar mais antes de avancar para o desenvolvimento completo do aplicativo, dado que ainda faltam validacoes de disposicao de pagamento e eficacia da proposta de valor'.</t>
        </is>
      </c>
      <c r="F140" s="17" t="inlineStr">
        <is>
          <t>DOC-C07-009</t>
        </is>
      </c>
      <c r="G140" s="17" t="inlineStr">
        <is>
          <t>high</t>
        </is>
      </c>
      <c r="H140" s="17" t="inlineStr">
        <is>
          <t>high</t>
        </is>
      </c>
      <c r="I140" s="18" t="inlineStr">
        <is>
          <t>Fazer do 07/09 o teste de Gate 1 para a linha digital, com meta de numero de compras e nao de numero de publicacoes.</t>
        </is>
      </c>
      <c r="J140" s="17" t="inlineStr">
        <is>
          <t>gap</t>
        </is>
      </c>
    </row>
    <row r="141">
      <c r="A141" s="17" t="inlineStr">
        <is>
          <t>RI-cb9f009543</t>
        </is>
      </c>
      <c r="B141" s="17" t="inlineStr">
        <is>
          <t>ECO-04</t>
        </is>
      </c>
      <c r="C141" s="17" t="inlineStr">
        <is>
          <t>SA-08C</t>
        </is>
      </c>
      <c r="D141" s="18" t="inlineStr">
        <is>
          <t>Do lado do concorrente, o Timer 45 e o unico SKU com concorrencia observada, e ela e de marketplace com preco visivel e avaliacao publica.</t>
        </is>
      </c>
      <c r="E141" s="18" t="inlineStr">
        <is>
          <t>Referencia visual Timer 45: 'Temporizador Cubo | Mercado Livre... Rating for mercadolivre.com.br: 4.7 - 2,450 reviews', 'Frete gratis 1a compra', 'Ate 21x sem juros'.</t>
        </is>
      </c>
      <c r="F141" s="17" t="inlineStr">
        <is>
          <t>DOC-C13-010</t>
        </is>
      </c>
      <c r="G141" s="17" t="inlineStr">
        <is>
          <t>high</t>
        </is>
      </c>
      <c r="H141" s="17" t="inlineStr">
        <is>
          <t>medium</t>
        </is>
      </c>
      <c r="I141" s="18" t="inlineStr">
        <is>
          <t>Nao disputar o Timer em preco e prazo com marketplace; disputar somente como componente de um sistema com metodo.</t>
        </is>
      </c>
      <c r="J141" s="17" t="inlineStr">
        <is>
          <t>fact</t>
        </is>
      </c>
    </row>
    <row r="142">
      <c r="A142" s="17" t="inlineStr">
        <is>
          <t>RI-15fce69651</t>
        </is>
      </c>
      <c r="B142" s="17" t="inlineStr">
        <is>
          <t>ECO-04</t>
        </is>
      </c>
      <c r="C142" s="17" t="inlineStr">
        <is>
          <t>SA-09A</t>
        </is>
      </c>
      <c r="D142" s="18" t="inlineStr">
        <is>
          <t>O Neurobook e o unico SKU proprietario da linha e concentra a liberdade de preco.</t>
        </is>
      </c>
      <c r="E142" s="18" t="inlineStr">
        <is>
          <t>Ecossistema: 'Neurobook - Produto proprietario - Maior capacidade de diferenciacao e, portanto, maior liberdade de preco'; 'O Neurobook e o Office Kit tem mais capacidade de carregar valor de marca e metodologia'; DOC-C09-008 define o Neurobook como 'nucleo analogico'.</t>
        </is>
      </c>
      <c r="F142" s="17" t="inlineStr">
        <is>
          <t>DOC-C05-001;DOC-C09-008</t>
        </is>
      </c>
      <c r="G142" s="17" t="inlineStr">
        <is>
          <t>high</t>
        </is>
      </c>
      <c r="H142" s="17" t="inlineStr">
        <is>
          <t>medium</t>
        </is>
      </c>
      <c r="I142" s="18" t="inlineStr">
        <is>
          <t>Priorizar a producao do Neurobook sobre os itens de revenda; ele e o unico ativo defensavel da linha.</t>
        </is>
      </c>
      <c r="J142" s="17" t="inlineStr">
        <is>
          <t>fact</t>
        </is>
      </c>
    </row>
    <row r="143">
      <c r="A143" s="17" t="inlineStr">
        <is>
          <t>RI-d82561edfb</t>
        </is>
      </c>
      <c r="B143" s="17" t="inlineStr">
        <is>
          <t>ECO-05</t>
        </is>
      </c>
      <c r="C143" s="17" t="inlineStr">
        <is>
          <t>SA-09A</t>
        </is>
      </c>
      <c r="D143" s="18" t="inlineStr">
        <is>
          <t>O 4E funciona como espinha proprietaria unica entre e-books, curso, editorial e produto fisico, o que reduz custo de criacao e aumenta coerencia de marca.</t>
        </is>
      </c>
      <c r="E143" s="18" t="inlineStr">
        <is>
          <t>Ecossistema: 'A mesma arquitetura deve aparecer em todos os e-books, cursos, workshops e conteudos educacionais'; 'Use o mesmo 4E dos infoprodutos. Isso cria linguagem unica para a marca inteira'; DOC-C09-016: 'Estrutura comum: Entender, Estruturar, Executar, Evoluir'.</t>
        </is>
      </c>
      <c r="F143" s="17" t="inlineStr">
        <is>
          <t>DOC-C05-001;DOC-C09-016;DOC-C09-013</t>
        </is>
      </c>
      <c r="G143" s="17" t="inlineStr">
        <is>
          <t>high</t>
        </is>
      </c>
      <c r="H143" s="17" t="inlineStr">
        <is>
          <t>medium</t>
        </is>
      </c>
      <c r="I143" s="18" t="inlineStr">
        <is>
          <t>Manter o 4E como restricao editorial obrigatoria em todo material publicado no lancamento.</t>
        </is>
      </c>
      <c r="J143" s="17" t="inlineStr">
        <is>
          <t>fact</t>
        </is>
      </c>
    </row>
    <row r="144">
      <c r="A144" s="17" t="inlineStr">
        <is>
          <t>RI-16386db112</t>
        </is>
      </c>
      <c r="B144" s="17" t="inlineStr">
        <is>
          <t>ECO-08</t>
        </is>
      </c>
      <c r="C144" s="17" t="inlineStr">
        <is>
          <t>SA-09A</t>
        </is>
      </c>
      <c r="D144" s="18" t="inlineStr">
        <is>
          <t>A matriz de 3 pilares por 4 fases cria 12 territorios editoriais permanentes, resolvendo o problema de pauta sem inventar categorias novas.</t>
        </is>
      </c>
      <c r="E144" s="18" t="inlineStr">
        <is>
          <t>Ecossistema: 'Agora existe uma matriz 3 x 4 = 12 territorios editoriais permanentes. Isso ja e suficiente para produzir conteudo por anos sem inventar novas categorias'; pilares 'TDAH x Tarefas, Processos e Projetos | TDAH x Risk Management | Funcoes Executivas'.</t>
        </is>
      </c>
      <c r="F144" s="17" t="inlineStr">
        <is>
          <t>DOC-C05-001</t>
        </is>
      </c>
      <c r="G144" s="17" t="inlineStr">
        <is>
          <t>high</t>
        </is>
      </c>
      <c r="H144" s="17" t="inlineStr">
        <is>
          <t>medium</t>
        </is>
      </c>
      <c r="I144" s="18" t="inlineStr">
        <is>
          <t>Etiquetar cada peca com pilar e fase no registro de materiais; isso torna a cobertura editorial mensuravel.</t>
        </is>
      </c>
      <c r="J144" s="17" t="inlineStr">
        <is>
          <t>fact</t>
        </is>
      </c>
    </row>
    <row r="145">
      <c r="A145" s="17" t="inlineStr">
        <is>
          <t>RI-8264a10f1f</t>
        </is>
      </c>
      <c r="B145" s="17" t="inlineStr">
        <is>
          <t>ECO-04</t>
        </is>
      </c>
      <c r="C145" s="17" t="inlineStr">
        <is>
          <t>SA-09B</t>
        </is>
      </c>
      <c r="D145" s="18" t="inlineStr">
        <is>
          <t>A linha fisica entra no lancamento sem nenhum numero: sem custo, sem preco publicado, sem fornecedor e sem operacao de compra.</t>
        </is>
      </c>
      <c r="E145" s="18" t="inlineStr">
        <is>
          <t>DOC-C09-008: 'Executar Office Kit - medir intencao | Neurobook - preparar apresentacao/lista | Timer 45 - validar custo e preco | Kit de organizacao fisica - preparar apresentacao/lista'; Regra: 'No lancamento, priorizar pagina, lista de interesse e proposta de conjunto quando a operacao de compra ainda nao estiver pronta'.</t>
        </is>
      </c>
      <c r="F145" s="17" t="inlineStr">
        <is>
          <t>DOC-C09-008</t>
        </is>
      </c>
      <c r="G145" s="17" t="inlineStr">
        <is>
          <t>high</t>
        </is>
      </c>
      <c r="H145" s="17" t="inlineStr">
        <is>
          <t>high</t>
        </is>
      </c>
      <c r="I145" s="18" t="inlineStr">
        <is>
          <t>Assumir explicitamente que ECO-04 lanca como captacao de intencao, e alinhar todas as pecas visuais a essa decisao.</t>
        </is>
      </c>
      <c r="J145" s="17" t="inlineStr">
        <is>
          <t>fact</t>
        </is>
      </c>
    </row>
    <row r="146">
      <c r="A146" s="17" t="inlineStr">
        <is>
          <t>RI-07121841b3</t>
        </is>
      </c>
      <c r="B146" s="17" t="inlineStr">
        <is>
          <t>ECO-06</t>
        </is>
      </c>
      <c r="C146" s="17" t="inlineStr">
        <is>
          <t>SA-09B</t>
        </is>
      </c>
      <c r="D146" s="18" t="inlineStr">
        <is>
          <t>Nenhum manuscrito, sumario ou capitulo dos livros digitais existe no acervo; existe apenas a especificacao editorial.</t>
        </is>
      </c>
      <c r="E146" s="18" t="inlineStr">
        <is>
          <t>DOC-C09-011 marca os tres titulos como 'estruturar cadastro'; DOC-C13-004 registra que as imagens sao 'referencias de direcao visual e produto' e adverte: 'nao confunda referencia com material aprovado para publicacao'.</t>
        </is>
      </c>
      <c r="F146" s="17" t="inlineStr">
        <is>
          <t>DOC-C09-011;DOC-C13-004</t>
        </is>
      </c>
      <c r="G146" s="17" t="inlineStr">
        <is>
          <t>high</t>
        </is>
      </c>
      <c r="H146" s="17" t="inlineStr">
        <is>
          <t>high</t>
        </is>
      </c>
      <c r="I146" s="18" t="inlineStr">
        <is>
          <t>Nao anunciar data de entrega de livro que ainda nao tem texto; usar pre-venda com prazo explicito ou lista de espera.</t>
        </is>
      </c>
      <c r="J146" s="17" t="inlineStr">
        <is>
          <t>fact</t>
        </is>
      </c>
    </row>
    <row r="147">
      <c r="A147" s="17" t="inlineStr">
        <is>
          <t>RI-ba0cd91666</t>
        </is>
      </c>
      <c r="B147" s="17" t="inlineStr">
        <is>
          <t>ECO-08</t>
        </is>
      </c>
      <c r="C147" s="17" t="inlineStr">
        <is>
          <t>SA-09B</t>
        </is>
      </c>
      <c r="D147" s="18" t="inlineStr">
        <is>
          <t>Toda a distribuicao planejada depende de plataformas de terceiros e nenhuma linha de base de audiencia esta registrada.</t>
        </is>
      </c>
      <c r="E147" s="18" t="inlineStr">
        <is>
          <t>BMC: '18 ativos, pacote principal, % geral nao informado' e 'metricas nao informadas permanecem desconhecidas'; entregas previstas: 'baseline de visualizacoes, retencao, salvamentos, inscricoes e downloads' - ou seja, a linha de base ainda sera criada.</t>
        </is>
      </c>
      <c r="F147" s="17" t="inlineStr">
        <is>
          <t>DOC-C02-039;DOC-C14-004;DOC-C14-005;DOC-C14-006</t>
        </is>
      </c>
      <c r="G147" s="17" t="inlineStr">
        <is>
          <t>high</t>
        </is>
      </c>
      <c r="H147" s="17" t="inlineStr">
        <is>
          <t>high</t>
        </is>
      </c>
      <c r="I147" s="18" t="inlineStr">
        <is>
          <t>Registrar contagem inicial de seguidores, inscritos e lista antes de 07/09; sem baseline nenhum resultado do lancamento sera interpretavel.</t>
        </is>
      </c>
      <c r="J147" s="17" t="inlineStr">
        <is>
          <t>fact</t>
        </is>
      </c>
    </row>
    <row r="148">
      <c r="A148" s="17" t="inlineStr">
        <is>
          <t>RI-252ab5e796</t>
        </is>
      </c>
      <c r="B148" s="17" t="inlineStr">
        <is>
          <t>ECO-06</t>
        </is>
      </c>
      <c r="C148" s="17" t="inlineStr">
        <is>
          <t>SA-09C</t>
        </is>
      </c>
      <c r="D148" s="18" t="inlineStr">
        <is>
          <t>O e-book de gestao de riscos e apontado no proprio acervo como o produto mais diferenciador da linha.</t>
        </is>
      </c>
      <c r="E148" s="18" t="inlineStr">
        <is>
          <t>Ecossistema, I2 TDAH Risk Management na Pratica: 'Esse pode ser um dos produtos mais diferenciadores, porque deixa de falar genericamente de produtividade com TDAH e fala de gestao preventiva das consequencias da execucao'.</t>
        </is>
      </c>
      <c r="F148" s="17" t="inlineStr">
        <is>
          <t>DOC-C05-001;DOC-C09-011</t>
        </is>
      </c>
      <c r="G148" s="17" t="inlineStr">
        <is>
          <t>high</t>
        </is>
      </c>
      <c r="H148" s="17" t="inlineStr">
        <is>
          <t>medium</t>
        </is>
      </c>
      <c r="I148" s="18" t="inlineStr">
        <is>
          <t>Priorizar TDAH e Gestao de Riscos na Pratica como primeiro titulo a fechar, e nao o tutorial generico.</t>
        </is>
      </c>
      <c r="J148" s="17" t="inlineStr">
        <is>
          <t>fact</t>
        </is>
      </c>
    </row>
    <row r="149">
      <c r="A149" s="17" t="inlineStr">
        <is>
          <t>RI-e9d184d83a</t>
        </is>
      </c>
      <c r="B149" s="17" t="inlineStr">
        <is>
          <t>ECO-04</t>
        </is>
      </c>
      <c r="C149" s="17" t="inlineStr">
        <is>
          <t>SA-09C</t>
        </is>
      </c>
      <c r="D149" s="18" t="inlineStr">
        <is>
          <t>A integracao fisico-digital por QR e apontada como elo do bundle e nao existe em nenhum concorrente observado.</t>
        </is>
      </c>
      <c r="E149" s="18" t="inlineStr">
        <is>
          <t>Ecossistema, nivel Integracao: 'QR / App Executar / templates - Ligar objeto fisico ao ecossistema digital'; Office Kit inclui 'Neurobook + Timer 45 + Organizacao + componentes de mesa/reprints selecionados'; a mockup mostra 'Reprint + QR - Extras + QR Code'.</t>
        </is>
      </c>
      <c r="F149" s="17" t="inlineStr">
        <is>
          <t>DOC-C05-001;DOC-C13-008</t>
        </is>
      </c>
      <c r="G149" s="17" t="inlineStr">
        <is>
          <t>high</t>
        </is>
      </c>
      <c r="H149" s="17" t="inlineStr">
        <is>
          <t>medium</t>
        </is>
      </c>
      <c r="I149" s="18" t="inlineStr">
        <is>
          <t>Tratar o QR como requisito de produto do Neurobook desde a primeira tiragem, nao como acessorio posterior.</t>
        </is>
      </c>
      <c r="J149" s="17" t="inlineStr">
        <is>
          <t>fact</t>
        </is>
      </c>
    </row>
    <row r="150">
      <c r="A150" s="17" t="inlineStr">
        <is>
          <t>RI-21c575fa3a</t>
        </is>
      </c>
      <c r="B150" s="17" t="inlineStr">
        <is>
          <t>ECO-05</t>
        </is>
      </c>
      <c r="C150" s="17" t="inlineStr">
        <is>
          <t>SA-09D</t>
        </is>
      </c>
      <c r="D150" s="18" t="inlineStr">
        <is>
          <t>A ancora de preco baixo do mercado de e-books ameaca o posicionamento premium da edicao interativa.</t>
        </is>
      </c>
      <c r="E150" s="18" t="inlineStr">
        <is>
          <t>Ecossistema: 'O mercado observado tem forte concentracao em preco baixo'; e a decisao de preco: 'Voce entra acessivel, mas nao se coloca na categoria de PDF barato de R$ 9,90'.</t>
        </is>
      </c>
      <c r="F150" s="17" t="inlineStr">
        <is>
          <t>DOC-C05-001</t>
        </is>
      </c>
      <c r="G150" s="17" t="inlineStr">
        <is>
          <t>high</t>
        </is>
      </c>
      <c r="H150" s="17" t="inlineStr">
        <is>
          <t>medium</t>
        </is>
      </c>
      <c r="I150" s="18" t="inlineStr">
        <is>
          <t>Nunca oferecer a edicao PDF isolada pelo preco cheio; o PDF e companion, e a interatividade e o que sustenta o preco.</t>
        </is>
      </c>
      <c r="J150" s="17" t="inlineStr">
        <is>
          <t>fact</t>
        </is>
      </c>
    </row>
    <row r="151">
      <c r="A151" s="17" t="inlineStr">
        <is>
          <t>RI-7c2a11a8fb</t>
        </is>
      </c>
      <c r="B151" s="17" t="inlineStr">
        <is>
          <t>ECO-08</t>
        </is>
      </c>
      <c r="C151" s="17" t="inlineStr">
        <is>
          <t>SA-09D</t>
        </is>
      </c>
      <c r="D151" s="18" t="inlineStr">
        <is>
          <t>A politica de plataforma sobre conteudo gerado por IA e um risco de distribuicao e de cadastro simultaneamente.</t>
        </is>
      </c>
      <c r="E151" s="18" t="inlineStr">
        <is>
          <t>Ecossistema: 'A Hotmart hoje tambem exige, no cadastro de e-books, identificacao de autoria e informa que o conteudo nao deve conter trechos copiados da internet ou gerados por IA. Isso e particularmente relevante para o seu workflow: IA pode ajudar no planejamento, taxonomia, pesquisa e revisao, mas eu trataria a redacao final comercial como conteudo autoral seu'.</t>
        </is>
      </c>
      <c r="F151" s="17" t="inlineStr">
        <is>
          <t>DOC-C05-001</t>
        </is>
      </c>
      <c r="G151" s="17" t="inlineStr">
        <is>
          <t>high</t>
        </is>
      </c>
      <c r="H151" s="17" t="inlineStr">
        <is>
          <t>medium</t>
        </is>
      </c>
      <c r="I151" s="18" t="inlineStr">
        <is>
          <t>Registrar procedencia autoral de cada peca publicada, nao apenas dos e-books.</t>
        </is>
      </c>
      <c r="J151" s="17" t="inlineStr">
        <is>
          <t>fact</t>
        </is>
      </c>
    </row>
    <row r="152">
      <c r="A152" s="17" t="inlineStr">
        <is>
          <t>RI-4c690a8640</t>
        </is>
      </c>
      <c r="B152" s="17" t="inlineStr">
        <is>
          <t>ECO-04</t>
        </is>
      </c>
      <c r="C152" s="17" t="inlineStr">
        <is>
          <t>SA-09D</t>
        </is>
      </c>
      <c r="D152" s="18" t="inlineStr">
        <is>
          <t>O ciclo caixa-a-caixa da linha fisica pode travar o lancamento se houver compra de estoque antes de venda confirmada.</t>
        </is>
      </c>
      <c r="E152" s="18" t="inlineStr">
        <is>
          <t>Ecossistema: 'Capital de giro - Dinheiro preso entre compra do produto e recebimento da venda - Este e um dos riscos principais desta linha fisica'; e a fase 04 so autoriza escala 'Baseada na demanda observada... Comprar em quantidade somente apos prova'.</t>
        </is>
      </c>
      <c r="F152" s="17" t="inlineStr">
        <is>
          <t>DOC-C05-001</t>
        </is>
      </c>
      <c r="G152" s="17" t="inlineStr">
        <is>
          <t>high</t>
        </is>
      </c>
      <c r="H152" s="17" t="inlineStr">
        <is>
          <t>high</t>
        </is>
      </c>
      <c r="I152" s="18" t="inlineStr">
        <is>
          <t>Fixar teto de imobilizacao em estoque por escrito antes de qualquer compra, mesmo de micro lote.</t>
        </is>
      </c>
      <c r="J152" s="17" t="inlineStr">
        <is>
          <t>fact</t>
        </is>
      </c>
    </row>
    <row r="153">
      <c r="A153" s="17" t="inlineStr">
        <is>
          <t>RI-e5e044157c</t>
        </is>
      </c>
      <c r="B153" s="17" t="inlineStr">
        <is>
          <t>ECO-04</t>
        </is>
      </c>
      <c r="C153" s="17" t="inlineStr">
        <is>
          <t>SA-10A</t>
        </is>
      </c>
      <c r="D153" s="18" t="inlineStr">
        <is>
          <t>A atratividade da linha fisica e baixa no SKU de revenda e desconhecida no SKU proprietario.</t>
        </is>
      </c>
      <c r="E153" s="18" t="inlineStr">
        <is>
          <t>Substitutos do Timer a partir de R$ 28,46 versus preco de fornecedor citado de R$ 39; o Neurobook, unico proprietario, nao tem custo nem preco de mercado comparado no acervo.</t>
        </is>
      </c>
      <c r="F153" s="17" t="inlineStr">
        <is>
          <t>DOC-C13-010;DOC-C05-001</t>
        </is>
      </c>
      <c r="G153" s="17" t="inlineStr">
        <is>
          <t>high</t>
        </is>
      </c>
      <c r="H153" s="17" t="inlineStr">
        <is>
          <t>high</t>
        </is>
      </c>
      <c r="I153" s="18" t="inlineStr">
        <is>
          <t>Concentrar o esforco de atratividade no Neurobook e no bundle; abandonar a hipotese de margem em revenda pura.</t>
        </is>
      </c>
      <c r="J153" s="17" t="inlineStr">
        <is>
          <t>inference</t>
        </is>
      </c>
    </row>
    <row r="154">
      <c r="A154" s="17" t="inlineStr">
        <is>
          <t>RI-2fb0c37297</t>
        </is>
      </c>
      <c r="B154" s="17" t="inlineStr">
        <is>
          <t>ECO-08</t>
        </is>
      </c>
      <c r="C154" s="17" t="inlineStr">
        <is>
          <t>SA-10B</t>
        </is>
      </c>
      <c r="D154" s="18" t="inlineStr">
        <is>
          <t>A capacidade de vencer no ecossistema creator repousa em um sistema editorial ja desenhado, operado por uma unica pessoa com 6h/dia.</t>
        </is>
      </c>
      <c r="E154" s="18" t="inlineStr">
        <is>
          <t>Ecossistema define matriz 3x4, schema de 10 blocos por peca, 12 projecoes por conteudo e cadeia unica de 13 camadas; a capacidade e '6 horas executaveis/dia' com '60h comprometidas + 12h de reserva'.</t>
        </is>
      </c>
      <c r="F154" s="17" t="inlineStr">
        <is>
          <t>DOC-C05-001;DOC-C08-008</t>
        </is>
      </c>
      <c r="G154" s="17" t="inlineStr">
        <is>
          <t>high</t>
        </is>
      </c>
      <c r="H154" s="17" t="inlineStr">
        <is>
          <t>high</t>
        </is>
      </c>
      <c r="I154" s="18" t="inlineStr">
        <is>
          <t>Reduzir de 4 canais de distribuicao para 1 no lancamento e expandir depois; o sistema e forte, a capacidade e o gargalo.</t>
        </is>
      </c>
      <c r="J154" s="17" t="inlineStr">
        <is>
          <t>inference</t>
        </is>
      </c>
    </row>
    <row r="155">
      <c r="A155" s="17" t="inlineStr">
        <is>
          <t>RI-27fb2b5998</t>
        </is>
      </c>
      <c r="B155" s="17" t="inlineStr">
        <is>
          <t>ECO-04</t>
        </is>
      </c>
      <c r="C155" s="17" t="inlineStr">
        <is>
          <t>SA-10B</t>
        </is>
      </c>
      <c r="D155" s="18" t="inlineStr">
        <is>
          <t>A capacidade de vencer na linha fisica e hoje indeterminavel porque a competencia central exigida (suprimento e logistica) nao foi avaliada em nenhum documento.</t>
        </is>
      </c>
      <c r="E155" s="18" t="inlineStr">
        <is>
          <t>Nenhum documento de ECO-04 (DOC-C09-007, DOC-C09-008, DOC-C12-008, DOC-C13-004) menciona fornecedor, importacao, armazenagem, expedicao, devolucao ou atendimento pos-venda.</t>
        </is>
      </c>
      <c r="F155" s="17" t="inlineStr">
        <is>
          <t>DOC-C09-007;DOC-C09-008;DOC-C12-008;DOC-C13-004</t>
        </is>
      </c>
      <c r="G155" s="17" t="inlineStr">
        <is>
          <t>high</t>
        </is>
      </c>
      <c r="H155" s="17" t="inlineStr">
        <is>
          <t>high</t>
        </is>
      </c>
      <c r="I155" s="18" t="inlineStr">
        <is>
          <t>Fazer uma avaliacao honesta de capacidade logistica antes de prometer compra; a alternativa e print-on-demand ou parceiro.</t>
        </is>
      </c>
      <c r="J155" s="17" t="inlineStr">
        <is>
          <t>gap</t>
        </is>
      </c>
    </row>
    <row r="156">
      <c r="A156" s="17" t="inlineStr">
        <is>
          <t>RI-49747808df</t>
        </is>
      </c>
      <c r="B156" s="17" t="inlineStr">
        <is>
          <t>ECO-04</t>
        </is>
      </c>
      <c r="C156" s="17" t="inlineStr">
        <is>
          <t>SA-11A</t>
        </is>
      </c>
      <c r="D156" s="18" t="inlineStr">
        <is>
          <t>A escolha declarada e jogar primeiro em intencao e nao em venda, com estoque proximo de zero.</t>
        </is>
      </c>
      <c r="E156" s="18" t="inlineStr">
        <is>
          <t>Ecossistema, Estrategia de validacao: '01 Intencao - 0-1 amostra - Pagina completa do produto - Medir cliques, lista de espera, interesse'; DOC-C09-008: 'priorizar pagina, lista de interesse e proposta de conjunto quando a operacao de compra ainda nao estiver pronta'.</t>
        </is>
      </c>
      <c r="F156" s="17" t="inlineStr">
        <is>
          <t>DOC-C05-001;DOC-C09-008</t>
        </is>
      </c>
      <c r="G156" s="17" t="inlineStr">
        <is>
          <t>high</t>
        </is>
      </c>
      <c r="H156" s="17" t="inlineStr">
        <is>
          <t>high</t>
        </is>
      </c>
      <c r="I156" s="18" t="inlineStr">
        <is>
          <t>Publicar em 07/09 a pagina de produto completa com lista de interesse e sem checkout, exatamente como a regra determina.</t>
        </is>
      </c>
      <c r="J156" s="17" t="inlineStr">
        <is>
          <t>fact</t>
        </is>
      </c>
    </row>
    <row r="157">
      <c r="A157" s="17" t="inlineStr">
        <is>
          <t>RI-8735f97ec3</t>
        </is>
      </c>
      <c r="B157" s="17" t="inlineStr">
        <is>
          <t>ECO-05</t>
        </is>
      </c>
      <c r="C157" s="17" t="inlineStr">
        <is>
          <t>SA-11A</t>
        </is>
      </c>
      <c r="D157" s="18" t="inlineStr">
        <is>
          <t>A escolha e jogar em dois canais simultaneos, pagina propria e Hotmart, com a mesma mensagem e oferta.</t>
        </is>
      </c>
      <c r="E157" s="18" t="inlineStr">
        <is>
          <t>DOC-C09-016: 'A pagina propria e a Hotmart devem apontar para a mesma mensagem e oferta'; DOC-C09-015 lista o cadastro Hotmart completo incluindo 'preco', 'pagina de venda/destino' e 'teste de compra quando possivel'.</t>
        </is>
      </c>
      <c r="F157" s="17" t="inlineStr">
        <is>
          <t>DOC-C09-016;DOC-C09-015</t>
        </is>
      </c>
      <c r="G157" s="17" t="inlineStr">
        <is>
          <t>high</t>
        </is>
      </c>
      <c r="H157" s="17" t="inlineStr">
        <is>
          <t>high</t>
        </is>
      </c>
      <c r="I157" s="18" t="inlineStr">
        <is>
          <t>Escrever uma unica copy canonica e reutiliza-la nos dois destinos, para evitar divergencia de preco e promessa.</t>
        </is>
      </c>
      <c r="J157" s="17" t="inlineStr">
        <is>
          <t>fact</t>
        </is>
      </c>
    </row>
    <row r="158">
      <c r="A158" s="17" t="inlineStr">
        <is>
          <t>RI-9277db2e69</t>
        </is>
      </c>
      <c r="B158" s="17" t="inlineStr">
        <is>
          <t>ECO-06</t>
        </is>
      </c>
      <c r="C158" s="17" t="inlineStr">
        <is>
          <t>SA-11A</t>
        </is>
      </c>
      <c r="D158" s="18" t="inlineStr">
        <is>
          <t>O destino declarado dos livros digitais e a pagina Biblioteca, cujo objetivo esta descrito como aprofundamento e nao como venda.</t>
        </is>
      </c>
      <c r="E158" s="18" t="inlineStr">
        <is>
          <t>DOC-C12-009, Biblioteca: 'Objetivo: organizar conteudo e aprofundamento. Chamada principal: CH-003 / CH-007'; o registro de chamadas define CH-003 'Explorar a biblioteca' e CH-007 'Ver o livro - ligacao de afiliado'; a chamada de livro digital e CH-004, que aponta para a Loja.</t>
        </is>
      </c>
      <c r="F158" s="17" t="inlineStr">
        <is>
          <t>DOC-C12-009;DOC-C08-004;DOC-C12-008</t>
        </is>
      </c>
      <c r="G158" s="17" t="inlineStr">
        <is>
          <t>high</t>
        </is>
      </c>
      <c r="H158" s="17" t="inlineStr">
        <is>
          <t>high</t>
        </is>
      </c>
      <c r="I158" s="18" t="inlineStr">
        <is>
          <t>Decidir se o livro digital e vendido na Loja (CH-004) ou exposto na Biblioteca (CH-003); hoje a Biblioteca leva a afiliado e nao a produto proprio.</t>
        </is>
      </c>
      <c r="J158" s="17" t="inlineStr">
        <is>
          <t>conflict</t>
        </is>
      </c>
    </row>
    <row r="159">
      <c r="A159" s="17" t="inlineStr">
        <is>
          <t>RI-79068cca4c</t>
        </is>
      </c>
      <c r="B159" s="17" t="inlineStr">
        <is>
          <t>ECO-08</t>
        </is>
      </c>
      <c r="C159" s="17" t="inlineStr">
        <is>
          <t>SA-11A</t>
        </is>
      </c>
      <c r="D159" s="18" t="inlineStr">
        <is>
          <t>O acervo define quatro canais proprios e quatro de distribuicao, com o blog como fonte canonica.</t>
        </is>
      </c>
      <c r="E159" s="18" t="inlineStr">
        <is>
          <t>Ecossistema, Arquitetura das plataformas: 'OWNED 01 executar.com / Blog - Fonte canonica do conteudo | OWNED 02 Biblioteca Executar | OWNED 03 E-mail / newsletter | OWNED 04 Executar / comunidade futura | DISTRIBUICAO 01 YouTube | 02 Instagram | 03 TikTok | 04 LinkedIn'.</t>
        </is>
      </c>
      <c r="F159" s="17" t="inlineStr">
        <is>
          <t>DOC-C05-001;DOC-C14-004;DOC-C14-005;DOC-C14-006</t>
        </is>
      </c>
      <c r="G159" s="17" t="inlineStr">
        <is>
          <t>high</t>
        </is>
      </c>
      <c r="H159" s="17" t="inlineStr">
        <is>
          <t>high</t>
        </is>
      </c>
      <c r="I159" s="18" t="inlineStr">
        <is>
          <t>Confirmar que os quatro canais de distribuicao cabem nas 5h de 'Publicacao e agenda' antes de anunciar presenca em todos.</t>
        </is>
      </c>
      <c r="J159" s="17" t="inlineStr">
        <is>
          <t>fact</t>
        </is>
      </c>
    </row>
    <row r="160">
      <c r="A160" s="17" t="inlineStr">
        <is>
          <t>RI-82be628106</t>
        </is>
      </c>
      <c r="B160" s="17" t="inlineStr">
        <is>
          <t>ECO-04</t>
        </is>
      </c>
      <c r="C160" s="17" t="inlineStr">
        <is>
          <t>SA-11B</t>
        </is>
      </c>
      <c r="D160" s="18" t="inlineStr">
        <is>
          <t>A forma de vencer declarada e vender sistema e nao objeto, com desconto de bundle derivado da margem e nao arbitrado.</t>
        </is>
      </c>
      <c r="E160" s="18" t="inlineStr">
        <is>
          <t>Ecossistema, 'Como estruturar o desconto do kit': '1 Definir preco individual sustentavel para cada SKU | 2 Somar todos os precos individuais | 3 Calcular o custo variavel real do kit | 4 Definir a margem minima aceitavel do bundle | 5 So entao encontrar o desconto maximo possivel | 6 Comunicar economize R$ X comprando o sistema completo'; e o alerta 'Nao faria: somar tudo, tirar 20% arbitrariamente'.</t>
        </is>
      </c>
      <c r="F160" s="17" t="inlineStr">
        <is>
          <t>DOC-C05-001</t>
        </is>
      </c>
      <c r="G160" s="17" t="inlineStr">
        <is>
          <t>high</t>
        </is>
      </c>
      <c r="H160" s="17" t="inlineStr">
        <is>
          <t>high</t>
        </is>
      </c>
      <c r="I160" s="18" t="inlineStr">
        <is>
          <t>Executar as seis etapas na ordem antes de qualquer numero publico do Office Kit.</t>
        </is>
      </c>
      <c r="J160" s="17" t="inlineStr">
        <is>
          <t>fact</t>
        </is>
      </c>
    </row>
    <row r="161">
      <c r="A161" s="17" t="inlineStr">
        <is>
          <t>RI-e870d62cbd</t>
        </is>
      </c>
      <c r="B161" s="17" t="inlineStr">
        <is>
          <t>ECO-05</t>
        </is>
      </c>
      <c r="C161" s="17" t="inlineStr">
        <is>
          <t>SA-11B</t>
        </is>
      </c>
      <c r="D161" s="18" t="inlineStr">
        <is>
          <t>A forma de vencer no infoproduto e por experiencia interativa e nao por volume de conteudo.</t>
        </is>
      </c>
      <c r="E161" s="18" t="inlineStr">
        <is>
          <t>Ecossistema: 'Eu nao usaria numero de paginas como metrica principal, porque o produto e interativo'; padrao: 'Macrofases 4 | Capitulos principais 12-16 | PDF equivalente ~60-100 paginas visuais | Exercicios centrais 8-12 | Mapas/diagramas 12+ | Checkpoints interativos 1+ por capitulo'.</t>
        </is>
      </c>
      <c r="F161" s="17" t="inlineStr">
        <is>
          <t>DOC-C05-001</t>
        </is>
      </c>
      <c r="G161" s="17" t="inlineStr">
        <is>
          <t>high</t>
        </is>
      </c>
      <c r="H161" s="17" t="inlineStr">
        <is>
          <t>medium</t>
        </is>
      </c>
      <c r="I161" s="18" t="inlineStr">
        <is>
          <t>Usar o padrao de 12-16 capitulos e 8-12 exercicios como definicao de pronto do primeiro titulo.</t>
        </is>
      </c>
      <c r="J161" s="17" t="inlineStr">
        <is>
          <t>fact</t>
        </is>
      </c>
    </row>
    <row r="162">
      <c r="A162" s="17" t="inlineStr">
        <is>
          <t>RI-dddae21526</t>
        </is>
      </c>
      <c r="B162" s="17" t="inlineStr">
        <is>
          <t>ECO-06</t>
        </is>
      </c>
      <c r="C162" s="17" t="inlineStr">
        <is>
          <t>SA-11B</t>
        </is>
      </c>
      <c r="D162" s="18" t="inlineStr">
        <is>
          <t>A forma de vencer com o livro autoral e delimitar a reivindicacao a integracao especifica, e nao ao ineditismo.</t>
        </is>
      </c>
      <c r="E162" s="18" t="inlineStr">
        <is>
          <t>BMC, Prevencao: 'Manter a reivindicacao restrita a integracao especifica entre funcoes executivas, risco de execucao, controles compensatorios e gestao de projetos, submetendo-a a revisao e tentativa de falsificacao'.</t>
        </is>
      </c>
      <c r="F162" s="17" t="inlineStr">
        <is>
          <t>DOC-C02-039;DOC-C02-042</t>
        </is>
      </c>
      <c r="G162" s="17" t="inlineStr">
        <is>
          <t>high</t>
        </is>
      </c>
      <c r="H162" s="17" t="inlineStr">
        <is>
          <t>medium</t>
        </is>
      </c>
      <c r="I162" s="18" t="inlineStr">
        <is>
          <t>Usar essa frase como trava de escopo do livro e do white paper.</t>
        </is>
      </c>
      <c r="J162" s="17" t="inlineStr">
        <is>
          <t>fact</t>
        </is>
      </c>
    </row>
    <row r="163">
      <c r="A163" s="17" t="inlineStr">
        <is>
          <t>RI-22d8b72fd8</t>
        </is>
      </c>
      <c r="B163" s="17" t="inlineStr">
        <is>
          <t>ECO-08</t>
        </is>
      </c>
      <c r="C163" s="17" t="inlineStr">
        <is>
          <t>SA-11B</t>
        </is>
      </c>
      <c r="D163" s="18" t="inlineStr">
        <is>
          <t>A forma de vencer no ecossistema creator e converter plataforma alugada em ativo proprio a cada peca.</t>
        </is>
      </c>
      <c r="E163" s="18" t="inlineStr">
        <is>
          <t>Ecossistema, cadeia unica de valor editorial: '07 Distribuicao multicanal Alcance | 08 Biblioteca / newsletter Retencao'; e o ciclo 'PESQUISAR, ENTENDER, ESTRUTURAR, EXECUTAR, EVOLUIR, DOCUMENTAR, PUBLICAR, CONVERTER, APRENDER, PESQUISAR'.</t>
        </is>
      </c>
      <c r="F163" s="17" t="inlineStr">
        <is>
          <t>DOC-C05-001</t>
        </is>
      </c>
      <c r="G163" s="17" t="inlineStr">
        <is>
          <t>high</t>
        </is>
      </c>
      <c r="H163" s="17" t="inlineStr">
        <is>
          <t>high</t>
        </is>
      </c>
      <c r="I163" s="18" t="inlineStr">
        <is>
          <t>Definir a metrica primaria do lancamento como inscricoes na lista e nao como alcance nas redes.</t>
        </is>
      </c>
      <c r="J163" s="17" t="inlineStr">
        <is>
          <t>fact</t>
        </is>
      </c>
    </row>
    <row r="164">
      <c r="A164" s="17" t="inlineStr">
        <is>
          <t>RI-7ad693d4ca</t>
        </is>
      </c>
      <c r="B164" s="17" t="inlineStr">
        <is>
          <t>ECO-04</t>
        </is>
      </c>
      <c r="C164" s="17" t="inlineStr">
        <is>
          <t>SA-12</t>
        </is>
      </c>
      <c r="D164" s="18" t="inlineStr">
        <is>
          <t>O requisito minimo da linha fisica no lancamento e uma pagina de produto com lista de interesse e chamada CH-009.</t>
        </is>
      </c>
      <c r="E164" s="18" t="inlineStr">
        <is>
          <t>DOC-C08-004, registro de chamadas: 'CH-009 | Conhecer o Office Kit | produto/lista de interesse | Produtos fisicos | criar destino'; DOC-C08-006: 'RT-005 | loja | preencher | verificar'; DOC-C08-003: 'Conteudo de produto fisico depende de Pagina de produto ou lista de interesse'.</t>
        </is>
      </c>
      <c r="F164" s="17" t="inlineStr">
        <is>
          <t>DOC-C08-004;DOC-C08-006;DOC-C08-003</t>
        </is>
      </c>
      <c r="G164" s="17" t="inlineStr">
        <is>
          <t>high</t>
        </is>
      </c>
      <c r="H164" s="17" t="inlineStr">
        <is>
          <t>high</t>
        </is>
      </c>
      <c r="I164" s="18" t="inlineStr">
        <is>
          <t>Fechar o destino de CH-009 e a rota RT-005 antes de qualquer peca editorial que mencione produto fisico.</t>
        </is>
      </c>
      <c r="J164" s="17" t="inlineStr">
        <is>
          <t>fact</t>
        </is>
      </c>
    </row>
    <row r="165">
      <c r="A165" s="17" t="inlineStr">
        <is>
          <t>RI-6390b05daa</t>
        </is>
      </c>
      <c r="B165" s="17" t="inlineStr">
        <is>
          <t>ECO-05</t>
        </is>
      </c>
      <c r="C165" s="17" t="inlineStr">
        <is>
          <t>SA-12</t>
        </is>
      </c>
      <c r="D165" s="18" t="inlineStr">
        <is>
          <t>O requisito de cadastro do infoproduto tem dez itens explicitos, dos quais preco e area de membros ainda nao tem valor definido na nota.</t>
        </is>
      </c>
      <c r="E165" s="18" t="inlineStr">
        <is>
          <t>DOC-C09-015, 'Cadastrar': 'produto; autoria; descricao; capa; preco; arquivos ou area de membros; pagina de venda/destino; termos aplicaveis; ligacao de pagamento; teste de compra quando possivel'; 'Evidencia: Registrar ligacao final e captura/estado de aprovacao ou disponibilidade'.</t>
        </is>
      </c>
      <c r="F165" s="17" t="inlineStr">
        <is>
          <t>DOC-C09-015</t>
        </is>
      </c>
      <c r="G165" s="17" t="inlineStr">
        <is>
          <t>high</t>
        </is>
      </c>
      <c r="H165" s="17" t="inlineStr">
        <is>
          <t>high</t>
        </is>
      </c>
      <c r="I165" s="18" t="inlineStr">
        <is>
          <t>Preencher os dez campos com os valores ja decididos em DOC-C05-001 e anexar a evidencia de aprovacao.</t>
        </is>
      </c>
      <c r="J165" s="17" t="inlineStr">
        <is>
          <t>fact</t>
        </is>
      </c>
    </row>
    <row r="166">
      <c r="A166" s="17" t="inlineStr">
        <is>
          <t>RI-13b579660d</t>
        </is>
      </c>
      <c r="B166" s="17" t="inlineStr">
        <is>
          <t>ECO-05</t>
        </is>
      </c>
      <c r="C166" s="17" t="inlineStr">
        <is>
          <t>SA-12</t>
        </is>
      </c>
      <c r="D166" s="18" t="inlineStr">
        <is>
          <t>O requisito do curso inclui declarar o que esta disponivel no lancamento e o que tem data posterior.</t>
        </is>
      </c>
      <c r="E166" s="18" t="inlineStr">
        <is>
          <t>DOC-C09-013, 'Para fechar no lancamento': 'descricao e promessa; estrutura dos modulos; condicao de lancamento; pagina/cadastro; chamada CH-005; indicar claramente o que esta disponivel no lancamento e o que possui data posterior, se aplicavel'.</t>
        </is>
      </c>
      <c r="F166" s="17" t="inlineStr">
        <is>
          <t>DOC-C09-013;DOC-C08-004</t>
        </is>
      </c>
      <c r="G166" s="17" t="inlineStr">
        <is>
          <t>high</t>
        </is>
      </c>
      <c r="H166" s="17" t="inlineStr">
        <is>
          <t>high</t>
        </is>
      </c>
      <c r="I166" s="18" t="inlineStr">
        <is>
          <t>Publicar a grade completa com marcacao de disponibilidade por modulo; e requisito de honestidade ja escrito na propria nota.</t>
        </is>
      </c>
      <c r="J166" s="17" t="inlineStr">
        <is>
          <t>fact</t>
        </is>
      </c>
    </row>
    <row r="167">
      <c r="A167" s="17" t="inlineStr">
        <is>
          <t>RI-cb196aa9b0</t>
        </is>
      </c>
      <c r="B167" s="17" t="inlineStr">
        <is>
          <t>ECO-06</t>
        </is>
      </c>
      <c r="C167" s="17" t="inlineStr">
        <is>
          <t>SA-12</t>
        </is>
      </c>
      <c r="D167" s="18" t="inlineStr">
        <is>
          <t>O requisito do livro digital inclui formato duplo, interativo mais PDF complementar, o que dobra o entregavel por titulo.</t>
        </is>
      </c>
      <c r="E167" s="18" t="inlineStr">
        <is>
          <t>DOC-C09-011, 'Para fechar': 'capa e descricao; estrutura 4E; formato interativo + PDF complementar; preco/condicao inicial; pagina propria; cadastro Hotmart; chamada CH-004'.</t>
        </is>
      </c>
      <c r="F167" s="17" t="inlineStr">
        <is>
          <t>DOC-C09-011;DOC-C08-004</t>
        </is>
      </c>
      <c r="G167" s="17" t="inlineStr">
        <is>
          <t>high</t>
        </is>
      </c>
      <c r="H167" s="17" t="inlineStr">
        <is>
          <t>high</t>
        </is>
      </c>
      <c r="I167" s="18" t="inlineStr">
        <is>
          <t>Reduzir a um formato por titulo para 07/09; tres titulos em formato duplo nao cabem em 6h de ofertas e cadastros.</t>
        </is>
      </c>
      <c r="J167" s="17" t="inlineStr">
        <is>
          <t>fact</t>
        </is>
      </c>
    </row>
    <row r="168">
      <c r="A168" s="17" t="inlineStr">
        <is>
          <t>RI-61cf46aff8</t>
        </is>
      </c>
      <c r="B168" s="17" t="inlineStr">
        <is>
          <t>ECO-04</t>
        </is>
      </c>
      <c r="C168" s="17" t="inlineStr">
        <is>
          <t>SA-12</t>
        </is>
      </c>
      <c r="D168" s="18" t="inlineStr">
        <is>
          <t>A pagina Loja e requisito compartilhado por produtos fisicos e infoprodutos, com escopo ainda nao delimitado.</t>
        </is>
      </c>
      <c r="E168" s="18" t="inlineStr">
        <is>
          <t>DOC-C12-008, Loja: 'Objetivo: produtos fisicos + infoprodutos. Chamada principal: CH-004 / CH-009. Fechar: confirmar texto canonico; confirmar rota; conferir imagens; conferir chamadas; conferir celular; testar medicao'.</t>
        </is>
      </c>
      <c r="F168" s="17" t="inlineStr">
        <is>
          <t>DOC-C12-008;DOC-C08-004</t>
        </is>
      </c>
      <c r="G168" s="17" t="inlineStr">
        <is>
          <t>high</t>
        </is>
      </c>
      <c r="H168" s="17" t="inlineStr">
        <is>
          <t>high</t>
        </is>
      </c>
      <c r="I168" s="18" t="inlineStr">
        <is>
          <t>Definir a arquitetura da Loja antes de produzir imagens: uma vitrine unica ou duas secoes com economias diferentes.</t>
        </is>
      </c>
      <c r="J168" s="17" t="inlineStr">
        <is>
          <t>fact</t>
        </is>
      </c>
    </row>
    <row r="169">
      <c r="A169" s="17" t="inlineStr">
        <is>
          <t>RI-306b98ac5f</t>
        </is>
      </c>
      <c r="B169" s="17" t="inlineStr">
        <is>
          <t>ECO-04</t>
        </is>
      </c>
      <c r="C169" s="17" t="inlineStr">
        <is>
          <t>SA-13</t>
        </is>
      </c>
      <c r="D169" s="18" t="inlineStr">
        <is>
          <t>Todas as ofertas, inclusive a fisica, precisam estar prontas para receber trafego no D3, 27/08, com 6 horas planejadas.</t>
        </is>
      </c>
      <c r="E169" s="18" t="inlineStr">
        <is>
          <t>DOC-C15-006: 'Resultado do dia: Ofertas prontas para receber trafego'; fila: '1 Fechar apresentacao do aplicativo, Estudio e produtos fisicos'; 'horas_planejadas: 6'; 'Concluido quando: Ofertas tem mensagem, destino, chamada e caminho de conversao definidos'.</t>
        </is>
      </c>
      <c r="F169" s="17" t="inlineStr">
        <is>
          <t>DOC-C15-006;DOC-C08-011</t>
        </is>
      </c>
      <c r="G169" s="17" t="inlineStr">
        <is>
          <t>high</t>
        </is>
      </c>
      <c r="H169" s="17" t="inlineStr">
        <is>
          <t>high</t>
        </is>
      </c>
      <c r="I169" s="18" t="inlineStr">
        <is>
          <t>Tratar 27/08 como o gate real da linha fisica; o que nao tiver destino nesse dia nao deve aparecer no lancamento.</t>
        </is>
      </c>
      <c r="J169" s="17" t="inlineStr">
        <is>
          <t>fact</t>
        </is>
      </c>
    </row>
    <row r="170">
      <c r="A170" s="17" t="inlineStr">
        <is>
          <t>RI-6a16ad6851</t>
        </is>
      </c>
      <c r="B170" s="17" t="inlineStr">
        <is>
          <t>ECO-05</t>
        </is>
      </c>
      <c r="C170" s="17" t="inlineStr">
        <is>
          <t>SA-13</t>
        </is>
      </c>
      <c r="D170" s="18" t="inlineStr">
        <is>
          <t>O mesmo D3 concentra o cadastro dos tres livros digitais, do curso e da Hotmart, alem dos afiliados e formularios.</t>
        </is>
      </c>
      <c r="E170" s="18" t="inlineStr">
        <is>
          <t>DOC-C15-006, fila unica do dia: '2 Preparar cadastro dos tres livros digitais e do curso. 3 Configurar ou deixar pronto para configuracao o cadastro Hotmart. 4 Configurar afiliados e gerar as primeiras ligacoes quando a conta estiver habilitada. 5 Testar formularios de servico e captacao.'</t>
        </is>
      </c>
      <c r="F170" s="17" t="inlineStr">
        <is>
          <t>DOC-C15-006;DOC-C09-015</t>
        </is>
      </c>
      <c r="G170" s="17" t="inlineStr">
        <is>
          <t>high</t>
        </is>
      </c>
      <c r="H170" s="17" t="inlineStr">
        <is>
          <t>high</t>
        </is>
      </c>
      <c r="I170" s="18" t="inlineStr">
        <is>
          <t>Reduzir o escopo do D3 ou antecipar o cadastro externo; cinco frentes de commerce em 6h e a maior concentracao de risco do plano.</t>
        </is>
      </c>
      <c r="J170" s="17" t="inlineStr">
        <is>
          <t>fact</t>
        </is>
      </c>
    </row>
    <row r="171">
      <c r="A171" s="17" t="inlineStr">
        <is>
          <t>RI-0905f7184d</t>
        </is>
      </c>
      <c r="B171" s="17" t="inlineStr">
        <is>
          <t>ECO-05</t>
        </is>
      </c>
      <c r="C171" s="17" t="inlineStr">
        <is>
          <t>SA-13</t>
        </is>
      </c>
      <c r="D171" s="18" t="inlineStr">
        <is>
          <t>O criterio de congelamento em 05/09 exige que as ofertas digitais estejam cadastradas e a medicao funcionando.</t>
        </is>
      </c>
      <c r="E171" s="18" t="inlineStr">
        <is>
          <t>DOC-C08-007, '05/09 congelamento': 'ofertas digitais estao cadastradas; ligacoes de afiliado estao identificadas; pecas editoriais estao publicadas ou agendadas; demonstracoes estao acessiveis; materiais para redes estao agendados; medicao basica funciona; nao existe entrega critica aguardando producao'.</t>
        </is>
      </c>
      <c r="F171" s="17" t="inlineStr">
        <is>
          <t>DOC-C08-007;DOC-C16-005</t>
        </is>
      </c>
      <c r="G171" s="17" t="inlineStr">
        <is>
          <t>high</t>
        </is>
      </c>
      <c r="H171" s="17" t="inlineStr">
        <is>
          <t>high</t>
        </is>
      </c>
      <c r="I171" s="18" t="inlineStr">
        <is>
          <t>Usar essa lista como checklist literal de go/no-go em 05/09, item por item, com evidencia anexada.</t>
        </is>
      </c>
      <c r="J171" s="17" t="inlineStr">
        <is>
          <t>fact</t>
        </is>
      </c>
    </row>
    <row r="172">
      <c r="A172" s="17" t="inlineStr">
        <is>
          <t>RI-3480e353e6</t>
        </is>
      </c>
      <c r="B172" s="17" t="inlineStr">
        <is>
          <t>ECO-08</t>
        </is>
      </c>
      <c r="C172" s="17" t="inlineStr">
        <is>
          <t>SA-13</t>
        </is>
      </c>
      <c r="D172" s="18" t="inlineStr">
        <is>
          <t>Os tres canais sociais tem nota de publicacao criada, mas todas estao em situacao 'planejado' e sem grade de datas.</t>
        </is>
      </c>
      <c r="E172" s="18" t="inlineStr">
        <is>
          <t>DOC-C14-004 (YouTube): 'situacao: planejado. Carregar video, titulo, descricao, miniatura, chamada e agenda'; DOC-C14-005 (Instagram e TikTok): 'Publicar/adaptar videos curtos e pecas visuais com destino claro'; DOC-C14-006 (LinkedIn): 'Adaptar o conteudo para argumento tecnico/profissional e apontar para a fonte canonica'; a agenda mestra tem todas as datas como 'preencher'.</t>
        </is>
      </c>
      <c r="F172" s="17" t="inlineStr">
        <is>
          <t>DOC-C14-004;DOC-C14-005;DOC-C14-006;DOC-C14-007</t>
        </is>
      </c>
      <c r="G172" s="17" t="inlineStr">
        <is>
          <t>high</t>
        </is>
      </c>
      <c r="H172" s="17" t="inlineStr">
        <is>
          <t>high</t>
        </is>
      </c>
      <c r="I172" s="18" t="inlineStr">
        <is>
          <t>Preencher a agenda mestra com datas reais no D10 (03/09); sem datas, os tres canais nao passam o gate de congelamento.</t>
        </is>
      </c>
      <c r="J172" s="17" t="inlineStr">
        <is>
          <t>fact</t>
        </is>
      </c>
    </row>
    <row r="173">
      <c r="A173" s="17" t="inlineStr">
        <is>
          <t>RI-7fc33dcb39</t>
        </is>
      </c>
      <c r="B173" s="17" t="inlineStr">
        <is>
          <t>ECO-08</t>
        </is>
      </c>
      <c r="C173" s="17" t="inlineStr">
        <is>
          <t>SA-13</t>
        </is>
      </c>
      <c r="D173" s="18" t="inlineStr">
        <is>
          <t>A medicao prevista cobre a cadeia completa de conversao, incluindo o elo de afiliado.</t>
        </is>
      </c>
      <c r="E173" s="18" t="inlineStr">
        <is>
          <t>DOC-C16-003, Medicao 001: 'chamada para destino; formulario para recebimento; pagamento/cadastro para confirmacao; download para arquivo; afiliado para ligacao identificada; principais eventos de acesso/conversao'.</t>
        </is>
      </c>
      <c r="F173" s="17" t="inlineStr">
        <is>
          <t>DOC-C16-003;DOC-C16-006</t>
        </is>
      </c>
      <c r="G173" s="17" t="inlineStr">
        <is>
          <t>high</t>
        </is>
      </c>
      <c r="H173" s="17" t="inlineStr">
        <is>
          <t>high</t>
        </is>
      </c>
      <c r="I173" s="18" t="inlineStr">
        <is>
          <t>Testar os seis elos no D11 (04/09) e registrar a evidencia; e o unico ponto do plano onde a conversao inteira e verificada.</t>
        </is>
      </c>
      <c r="J173" s="17" t="inlineStr">
        <is>
          <t>fact</t>
        </is>
      </c>
    </row>
    <row r="174">
      <c r="A174" s="17" t="inlineStr">
        <is>
          <t>RI-29964ed5e4</t>
        </is>
      </c>
      <c r="B174" s="17" t="inlineStr">
        <is>
          <t>ECO-04</t>
        </is>
      </c>
      <c r="C174" s="17" t="inlineStr">
        <is>
          <t>SA-13</t>
        </is>
      </c>
      <c r="D174" s="18" t="inlineStr">
        <is>
          <t>A regra de passagem do lancamento e sequencial e bloqueante, o que significa que um atraso na linha fisica trava os dias seguintes.</t>
        </is>
      </c>
      <c r="E174" s="18" t="inlineStr">
        <is>
          <t>DOC-C18-002, Regra de passagem: 'Um dia so libera o seguinte quando o resultado, a evidencia e as pendencias criticas daquele dia estiverem fechados'; DOC-C08-011: 'Entre no dia atual e permaneca nele ate concluir. Cada dia libera o seguinte'.</t>
        </is>
      </c>
      <c r="F174" s="17" t="inlineStr">
        <is>
          <t>DOC-C18-002;DOC-C08-011</t>
        </is>
      </c>
      <c r="G174" s="17" t="inlineStr">
        <is>
          <t>high</t>
        </is>
      </c>
      <c r="H174" s="17" t="inlineStr">
        <is>
          <t>high</t>
        </is>
      </c>
      <c r="I174" s="18" t="inlineStr">
        <is>
          <t>Definir antecipadamente o criterio de 'pronto o suficiente' para produtos fisicos, senao a unidade menos madura bloqueia a fila.</t>
        </is>
      </c>
      <c r="J174" s="17" t="inlineStr">
        <is>
          <t>fact</t>
        </is>
      </c>
    </row>
    <row r="175">
      <c r="A175" s="17" t="inlineStr">
        <is>
          <t>RI-c334794e67</t>
        </is>
      </c>
      <c r="B175" s="17" t="inlineStr">
        <is>
          <t>ECO-06</t>
        </is>
      </c>
      <c r="C175" s="17" t="inlineStr">
        <is>
          <t>SA-03A</t>
        </is>
      </c>
      <c r="D175" s="18" t="inlineStr">
        <is>
          <t>A fronteira ECO-06 esta contida dentro de ECO-05 na propria arvore de pastas e na nota de visao: livros digitais sao um filho de Infoprodutos.</t>
        </is>
      </c>
      <c r="E175" s="18" t="inlineStr">
        <is>
          <t>ARVORE-DE-PASTAS.txt: '01-OFERTAS/ ... 04-INFOPRODUTOS/ 01-LIVROS-DIGITAIS/ 02-CURSO/ 03-HOTMART/'; DOC-C09-016 lista sob 'Mergulhe aqui': 'Livros digitais | Curso | Hotmart'; DOC-C09-009 lista as pastas 'Livros Digitais, Curso, Hotmart' como subpastas de Infoprodutos.</t>
        </is>
      </c>
      <c r="F175" s="17" t="inlineStr">
        <is>
          <t>DOC-C18-003;DOC-C09-016;DOC-C09-009;DOC-C09-010</t>
        </is>
      </c>
      <c r="G175" s="17" t="inlineStr">
        <is>
          <t>high</t>
        </is>
      </c>
      <c r="H175" s="17" t="inlineStr">
        <is>
          <t>high</t>
        </is>
      </c>
      <c r="I175" s="18" t="inlineStr">
        <is>
          <t>Nao arbitrar em silencio: ou ECO-06 e redefinida como sub-linha de ECO-05, ou o acervo precisa separar fisicamente o livro autoral dos e-books comerciais.</t>
        </is>
      </c>
      <c r="J175" s="17" t="inlineStr">
        <is>
          <t>conflict</t>
        </is>
      </c>
    </row>
    <row r="176">
      <c r="A176" s="17" t="inlineStr">
        <is>
          <t>RI-af9a2bb64f</t>
        </is>
      </c>
      <c r="B176" s="17" t="inlineStr">
        <is>
          <t>ECO-06</t>
        </is>
      </c>
      <c r="C176" s="17" t="inlineStr">
        <is>
          <t>SA-03A</t>
        </is>
      </c>
      <c r="D176" s="18" t="inlineStr">
        <is>
          <t>Existem dois objetos distintos chamados livro no acervo, e apenas um deles esta na pasta de infoprodutos.</t>
        </is>
      </c>
      <c r="E176" s="18" t="inlineStr">
        <is>
          <t>Objeto A - livros digitais comerciais: DOC-C09-011 'Aplicando o TDAH Adulto | TDAH e Gestao de Riscos na Pratica | Gerenciando o TDAH Adulto 360', estado 'estruturar cadastro'. Objeto B - livro autoral de expansao intelectual: MASTER_INDEX RC-028 'artigo/manifesto v0, white paper/framework v1, aplicacao no EXECUTAR, casos/dados, artigo academico, livro/curso', prazo DEPOIS; texto 2.txt: 'white paper/livro/curso = expansao intelectual'.</t>
        </is>
      </c>
      <c r="F176" s="17" t="inlineStr">
        <is>
          <t>DOC-C09-011;DOC-C02-002;DOC-C02-042</t>
        </is>
      </c>
      <c r="G176" s="17" t="inlineStr">
        <is>
          <t>high</t>
        </is>
      </c>
      <c r="H176" s="17" t="inlineStr">
        <is>
          <t>high</t>
        </is>
      </c>
      <c r="I176" s="18" t="inlineStr">
        <is>
          <t>Separar nominalmente as duas coisas: e-books Executar (ECO-05/06 comercial) e Livro Risco Cognitivo (ativo intelectual pos-white paper).</t>
        </is>
      </c>
      <c r="J176" s="17" t="inlineStr">
        <is>
          <t>conflict</t>
        </is>
      </c>
    </row>
    <row r="177">
      <c r="A177" s="17" t="inlineStr">
        <is>
          <t>RI-007f04d951</t>
        </is>
      </c>
      <c r="B177" s="17" t="inlineStr">
        <is>
          <t>ECO-06</t>
        </is>
      </c>
      <c r="C177" s="17" t="inlineStr">
        <is>
          <t>SA-05</t>
        </is>
      </c>
      <c r="D177" s="18" t="inlineStr">
        <is>
          <t>O catalogo de livros na peca visual diverge do catalogo do documento de oferta: cinco titulos versus tres, sem o titulo de gestao de riscos.</t>
        </is>
      </c>
      <c r="E177" s="18" t="inlineStr">
        <is>
          <t>DOC-C09-011 lista tres linhas: 'Aplicando o TDAH Adulto | TDAH e Gestao de Riscos na Pratica | Gerenciando o TDAH Adulto 360'. A referencia visual da biblioteca mostra cinco capas: 'Aplicando o TDAH Adulto (Adultos) | TDAH Kids (Kids) | Gerenciando o TDAH Adulto (Adultos) | Gerenciando o TDAH Kids (Familias) | Automacoes Neuroadaptadas (Automacoes)'. Em DOC-C05-001, Kids e automacoes constam como 'I4+ Kids, familias, automacoes etc. - Biblioteca futura - Roadmap'.</t>
        </is>
      </c>
      <c r="F177" s="17" t="inlineStr">
        <is>
          <t>DOC-C09-011;DOC-C13-005;DOC-C05-001</t>
        </is>
      </c>
      <c r="G177" s="17" t="inlineStr">
        <is>
          <t>high</t>
        </is>
      </c>
      <c r="H177" s="17" t="inlineStr">
        <is>
          <t>high</t>
        </is>
      </c>
      <c r="I177" s="18" t="inlineStr">
        <is>
          <t>Refazer a peca da biblioteca com o catalogo real de lancamento ou adiar a peca; publicar cinco capas de tres livros existentes cria promessa falsa.</t>
        </is>
      </c>
      <c r="J177" s="17" t="inlineStr">
        <is>
          <t>conflict</t>
        </is>
      </c>
    </row>
    <row r="178">
      <c r="A178" s="17" t="inlineStr">
        <is>
          <t>RI-b4d383e36f</t>
        </is>
      </c>
      <c r="B178" s="17" t="inlineStr">
        <is>
          <t>ECO-05</t>
        </is>
      </c>
      <c r="C178" s="17" t="inlineStr">
        <is>
          <t>SA-12</t>
        </is>
      </c>
      <c r="D178" s="18" t="inlineStr">
        <is>
          <t>O nome 'Gerenciando o TDAH Adulto' identifica ao mesmo tempo o curso, um e-book na capa de referencia e um e-book '360' na nota de oferta.</t>
        </is>
      </c>
      <c r="E178" s="18" t="inlineStr">
        <is>
          <t>DOC-C09-013: 'Curso - Gerenciando o TDAH Adulto'. DOC-C09-011: e-book 'Gerenciando o TDAH Adulto 360 - visao sistemica'. Referencia visual: capa com selo 'E-book' e titulo 'GERENCIANDO O TDAH ADULTO - Trabalho, foco e execucao - Projetos, clientes, processos, rotina'.</t>
        </is>
      </c>
      <c r="F178" s="17" t="inlineStr">
        <is>
          <t>DOC-C09-013;DOC-C09-011;DOC-C13-007</t>
        </is>
      </c>
      <c r="G178" s="17" t="inlineStr">
        <is>
          <t>high</t>
        </is>
      </c>
      <c r="H178" s="17" t="inlineStr">
        <is>
          <t>high</t>
        </is>
      </c>
      <c r="I178" s="18" t="inlineStr">
        <is>
          <t>Renomear um dos dois antes do cadastro; nomes identicos em SKUs de precos diferentes quebram a escada comercial e o checkout.</t>
        </is>
      </c>
      <c r="J178" s="17" t="inlineStr">
        <is>
          <t>conflict</t>
        </is>
      </c>
    </row>
    <row r="179">
      <c r="A179" s="17" t="inlineStr">
        <is>
          <t>RI-69caa0247f</t>
        </is>
      </c>
      <c r="B179" s="17" t="inlineStr">
        <is>
          <t>ECO-04</t>
        </is>
      </c>
      <c r="C179" s="17" t="inlineStr">
        <is>
          <t>SA-06B</t>
        </is>
      </c>
      <c r="D179" s="18" t="inlineStr">
        <is>
          <t>Existem duas versoes incompativeis do bundle fisico: uma composicao com Timer e organizacao a R$ 369 e outra so de papelaria a R$ 349.</t>
        </is>
      </c>
      <c r="E179" s="18" t="inlineStr">
        <is>
          <t>Versao A - DOC-C09-008 e DOC-C05-001: 'Executar Office Kit: Neurobook + Timer 45 + Organizacao + componentes de mesa/reprints selecionados'; exemplo 'Neurobook R$ 149 + Timer R$ 119 + Organizacao R$ 79 + acessorios R$ 99 = R$ 446... Se o kit for R$ 369'. Versao B - referencia visual: 'Kit TDAH Planner Reprint, R$ 349,00 ou 6x de R$ 58,17', incluindo 'Sprint Planner, Neuroagenda, Rolo de Etiquetas, Reguas de Acrilico, Reprint + QR' - sem Timer e sem saquinhos.</t>
        </is>
      </c>
      <c r="F179" s="17" t="inlineStr">
        <is>
          <t>DOC-C09-008;DOC-C05-001;DOC-C13-008</t>
        </is>
      </c>
      <c r="G179" s="17" t="inlineStr">
        <is>
          <t>high</t>
        </is>
      </c>
      <c r="H179" s="17" t="inlineStr">
        <is>
          <t>high</t>
        </is>
      </c>
      <c r="I179" s="18" t="inlineStr">
        <is>
          <t>Escolher uma composicao e um nome unicos antes de produzir qualquer imagem publica; hoje ha dois produtos diferentes com o mesmo papel.</t>
        </is>
      </c>
      <c r="J179" s="17" t="inlineStr">
        <is>
          <t>conflict</t>
        </is>
      </c>
    </row>
    <row r="180">
      <c r="A180" s="17" t="inlineStr">
        <is>
          <t>RI-dc2deb1024</t>
        </is>
      </c>
      <c r="B180" s="17" t="inlineStr">
        <is>
          <t>ECO-04</t>
        </is>
      </c>
      <c r="C180" s="17" t="inlineStr">
        <is>
          <t>SA-13</t>
        </is>
      </c>
      <c r="D180" s="18" t="inlineStr">
        <is>
          <t>A peca visual mostra operacao de compra completa enquanto a regra da unidade determina lancar sem operacao de compra.</t>
        </is>
      </c>
      <c r="E180" s="18" t="inlineStr">
        <is>
          <t>DOC-C09-008: 'No lancamento, priorizar pagina, lista de interesse e proposta de conjunto quando a operacao de compra ainda nao estiver pronta'. Referencia visual: botao 'ADICIONAR AO CARRINHO', carrinho com 1 item, 'ou 6x de R$ 58,17', 'Compra 100% segura', 'Frete gratis acima de R$ 199'.</t>
        </is>
      </c>
      <c r="F180" s="17" t="inlineStr">
        <is>
          <t>DOC-C09-008;DOC-C13-008</t>
        </is>
      </c>
      <c r="G180" s="17" t="inlineStr">
        <is>
          <t>high</t>
        </is>
      </c>
      <c r="H180" s="17" t="inlineStr">
        <is>
          <t>high</t>
        </is>
      </c>
      <c r="I180" s="18" t="inlineStr">
        <is>
          <t>Alinhar a peca a decisao: se e lista de interesse, o CTA e 'Entrar na lista' e nao 'Adicionar ao carrinho'.</t>
        </is>
      </c>
      <c r="J180" s="17" t="inlineStr">
        <is>
          <t>conflict</t>
        </is>
      </c>
    </row>
    <row r="181">
      <c r="A181" s="17" t="inlineStr">
        <is>
          <t>RI-60df93c5f0</t>
        </is>
      </c>
      <c r="B181" s="17" t="inlineStr">
        <is>
          <t>ECO-04</t>
        </is>
      </c>
      <c r="C181" s="17" t="inlineStr">
        <is>
          <t>SA-11A</t>
        </is>
      </c>
      <c r="D181" s="18" t="inlineStr">
        <is>
          <t>As roupas estao explicitamente fora da primeira fase no documento e aparecem como heroi da peca visual do kit de organizacao.</t>
        </is>
      </c>
      <c r="E181" s="18" t="inlineStr">
        <is>
          <t>DOC-C05-001: 'P4 Roupas - Fora do escopo atual - As roupas mostradas no conceito visual nao entram nesta primeira fase - Nao lancar agora'. Referencia visual de organizacao fisica: mockup 'Kit Semanal Masculino' com polos, bermudas e meias ocupando metade da area principal e CTA 'COMPRAR KIT SEMANAL'.</t>
        </is>
      </c>
      <c r="F181" s="17" t="inlineStr">
        <is>
          <t>DOC-C05-001;DOC-C13-009</t>
        </is>
      </c>
      <c r="G181" s="17" t="inlineStr">
        <is>
          <t>high</t>
        </is>
      </c>
      <c r="H181" s="17" t="inlineStr">
        <is>
          <t>high</t>
        </is>
      </c>
      <c r="I181" s="18" t="inlineStr">
        <is>
          <t>Refazer a peca sem vestuario ou adiar a peca; ela vende exatamente o que a decisao de escopo excluiu.</t>
        </is>
      </c>
      <c r="J181" s="17" t="inlineStr">
        <is>
          <t>conflict</t>
        </is>
      </c>
    </row>
    <row r="182">
      <c r="A182" s="17" t="inlineStr">
        <is>
          <t>RI-8aabcebfd0</t>
        </is>
      </c>
      <c r="B182" s="17" t="inlineStr">
        <is>
          <t>ECO-04</t>
        </is>
      </c>
      <c r="C182" s="17" t="inlineStr">
        <is>
          <t>SA-13</t>
        </is>
      </c>
      <c r="D182" s="18" t="inlineStr">
        <is>
          <t>As pecas visuais mostram tres storefronts com navegacoes distintas, enquanto o plano prevê uma unica pagina Loja.</t>
        </is>
      </c>
      <c r="E182" s="18" t="inlineStr">
        <is>
          <t>DOC-C12-008 define uma pagina 'Loja' com objetivo 'produtos fisicos + infoprodutos'. As pecas mostram: 'executar.com/kit-tdah-planner-reprint' com nav 'Inicio, Produtos, Sistema, Comunidade, Sobre'; 'executar.com/kit-semanal-masculino' com nav 'KITS, SACOS, ORGANIZADORES, ACESSORIOS'; e a biblioteca com nav 'Inicio, Sobre, Biblioteca, Planos, Comunidade, Recursos'.</t>
        </is>
      </c>
      <c r="F182" s="17" t="inlineStr">
        <is>
          <t>DOC-C12-008;DOC-C13-008;DOC-C13-009;DOC-C13-005</t>
        </is>
      </c>
      <c r="G182" s="17" t="inlineStr">
        <is>
          <t>high</t>
        </is>
      </c>
      <c r="H182" s="17" t="inlineStr">
        <is>
          <t>high</t>
        </is>
      </c>
      <c r="I182" s="18" t="inlineStr">
        <is>
          <t>Congelar uma arquitetura de navegacao unica antes de produzir imagens; tres navs diferentes tornam impossivel confirmar rotas em RT-001 a RT-010.</t>
        </is>
      </c>
      <c r="J182" s="17" t="inlineStr">
        <is>
          <t>conflict</t>
        </is>
      </c>
    </row>
    <row r="183">
      <c r="A183" s="17" t="inlineStr">
        <is>
          <t>RI-a055b95fd6</t>
        </is>
      </c>
      <c r="B183" s="17" t="inlineStr">
        <is>
          <t>ECO-05</t>
        </is>
      </c>
      <c r="C183" s="17" t="inlineStr">
        <is>
          <t>SA-06A</t>
        </is>
      </c>
      <c r="D183" s="18" t="inlineStr">
        <is>
          <t>A peca da biblioteca sugere modelo de assinatura, enquanto a arquitetura comercial documentada e de compra unitaria em escada.</t>
        </is>
      </c>
      <c r="E183" s="18" t="inlineStr">
        <is>
          <t>Referencia visual da biblioteca: item de menu 'Planos', botao 'Entrar', CTA 'FACA PARTE DA BIBLIOTECA EXECUTAR' e selos 'Atualizacoes constantes' e 'Acesso em qualquer lugar e dispositivo'. DOC-C05-001 define degraus com precos unitarios (R$ 39,90, R$ 99-129, R$ 97, R$ 197) e nao menciona assinatura em nenhum ponto da arquitetura comercial.</t>
        </is>
      </c>
      <c r="F183" s="17" t="inlineStr">
        <is>
          <t>DOC-C13-005;DOC-C05-001</t>
        </is>
      </c>
      <c r="G183" s="17" t="inlineStr">
        <is>
          <t>high</t>
        </is>
      </c>
      <c r="H183" s="17" t="inlineStr">
        <is>
          <t>high</t>
        </is>
      </c>
      <c r="I183" s="18" t="inlineStr">
        <is>
          <t>Decidir se existe assinatura antes do lancamento; um selo de 'atualizacoes constantes' cria obrigacao de entrega recorrente nao planejada.</t>
        </is>
      </c>
      <c r="J183" s="17" t="inlineStr">
        <is>
          <t>conflict</t>
        </is>
      </c>
    </row>
    <row r="184">
      <c r="A184" s="17" t="inlineStr">
        <is>
          <t>RI-db4136bf89</t>
        </is>
      </c>
      <c r="B184" s="17" t="inlineStr">
        <is>
          <t>ECO-08</t>
        </is>
      </c>
      <c r="C184" s="17" t="inlineStr">
        <is>
          <t>SA-13</t>
        </is>
      </c>
      <c r="D184" s="18" t="inlineStr">
        <is>
          <t>Ha duas estrategias de canal incompativeis no acervo: quatro canais de distribuicao ativos e um unico canal com playlists.</t>
        </is>
      </c>
      <c r="E184" s="18" t="inlineStr">
        <is>
          <t>Versao A - DOC-C05-001 e as notas PUB: 'DISTRIBUICAO 01 YouTube | 02 Instagram | 03 TikTok | 04 LinkedIn', com PUB-002, PUB-003 e PUB-004 criadas. Versao B - Dashboard QL-0038, subtema 'Simplificacao de canais': 'A estrategia de cinco canais e substituida por um canal principal com playlists'; acao: 'Reduzir dispersao operacional e medir consistencia por ciclo'.</t>
        </is>
      </c>
      <c r="F184" s="17" t="inlineStr">
        <is>
          <t>DOC-C05-001;DOC-C14-004;DOC-C14-005;DOC-C14-006;DOC-C07-009</t>
        </is>
      </c>
      <c r="G184" s="17" t="inlineStr">
        <is>
          <t>high</t>
        </is>
      </c>
      <c r="H184" s="17" t="inlineStr">
        <is>
          <t>high</t>
        </is>
      </c>
      <c r="I184" s="18" t="inlineStr">
        <is>
          <t>Registrar qual decisao vale para 07/09; manter as duas versoes ativas garante dispersao dentro de 5h de publicacao e agenda.</t>
        </is>
      </c>
      <c r="J184" s="17" t="inlineStr">
        <is>
          <t>conflict</t>
        </is>
      </c>
    </row>
    <row r="185">
      <c r="A185" s="17" t="inlineStr">
        <is>
          <t>RI-1c6cc01a93</t>
        </is>
      </c>
      <c r="B185" s="17" t="inlineStr">
        <is>
          <t>ECO-08</t>
        </is>
      </c>
      <c r="C185" s="17" t="inlineStr">
        <is>
          <t>SA-11A</t>
        </is>
      </c>
      <c r="D185" s="18" t="inlineStr">
        <is>
          <t>Blog e newsletter aparecem como canal inicial prioritario em uma fonte e como apenas dois entre oito plataformas em outra.</t>
        </is>
      </c>
      <c r="E185" s="18" t="inlineStr">
        <is>
          <t>Dashboard QL-000057: 'A equipe decidiu priorizar um blog visual-first com newsletter como canal inicial, com a hipotese de que blogs gerariam mais leads qualificados do que redes sociais dispersas para este publico'; acao: 'Concentrar recursos iniciais de marketing em conteudo de blog e newsletter antes de expandir para redes sociais'. DOC-C05-001 estrutura oito posicoes (4 owned + 4 distribuicao) sem hierarquia de fase.</t>
        </is>
      </c>
      <c r="F185" s="17" t="inlineStr">
        <is>
          <t>DOC-C07-009;DOC-C05-001</t>
        </is>
      </c>
      <c r="G185" s="17" t="inlineStr">
        <is>
          <t>high</t>
        </is>
      </c>
      <c r="H185" s="17" t="inlineStr">
        <is>
          <t>medium</t>
        </is>
      </c>
      <c r="I185" s="18" t="inlineStr">
        <is>
          <t>Adotar a hierarquia por fase: blog e newsletter no lancamento, redes como derivado, e registrar isso na agenda mestra.</t>
        </is>
      </c>
      <c r="J185" s="17" t="inlineStr">
        <is>
          <t>conflict</t>
        </is>
      </c>
    </row>
    <row r="186">
      <c r="A186" s="17" t="inlineStr">
        <is>
          <t>RI-7d098635c7</t>
        </is>
      </c>
      <c r="B186" s="17" t="inlineStr">
        <is>
          <t>ECO-08</t>
        </is>
      </c>
      <c r="C186" s="17" t="inlineStr">
        <is>
          <t>SA-09B</t>
        </is>
      </c>
      <c r="D186" s="18" t="inlineStr">
        <is>
          <t>A comunidade aparece como item de menu ativo e como selo de produto nas pecas visuais, mas o acervo textual a classifica como futura.</t>
        </is>
      </c>
      <c r="E186" s="18" t="inlineStr">
        <is>
          <t>Ecossistema: 'OWNED 04 Executar / comunidade futura - Continuidade e aplicacao'. Pecas visuais: nav 'Comunidade' na loja do Office Kit e na biblioteca; selo 'COMUNIDADE E APOIO' na capa de 'Aplicando o TDAH Adulto'; selo 'Comunidade e apoio' entre os quatro beneficios do Kit TDAH Planner Reprint.</t>
        </is>
      </c>
      <c r="F186" s="17" t="inlineStr">
        <is>
          <t>DOC-C05-001;DOC-C13-008;DOC-C13-005;DOC-C13-006</t>
        </is>
      </c>
      <c r="G186" s="17" t="inlineStr">
        <is>
          <t>high</t>
        </is>
      </c>
      <c r="H186" s="17" t="inlineStr">
        <is>
          <t>high</t>
        </is>
      </c>
      <c r="I186" s="18" t="inlineStr">
        <is>
          <t>Remover a promessa de comunidade das pecas ou definir o que a comunidade e em 07/09; hoje ela e prometida em tres superficies e nao existe.</t>
        </is>
      </c>
      <c r="J186" s="17" t="inlineStr">
        <is>
          <t>conflict</t>
        </is>
      </c>
    </row>
    <row r="187">
      <c r="A187" s="17" t="inlineStr">
        <is>
          <t>RI-bfe54513d9</t>
        </is>
      </c>
      <c r="B187" s="17" t="inlineStr">
        <is>
          <t>ECO-05</t>
        </is>
      </c>
      <c r="C187" s="17" t="inlineStr">
        <is>
          <t>SA-07B</t>
        </is>
      </c>
      <c r="D187" s="18" t="inlineStr">
        <is>
          <t>As duas fontes de capacidade divergem na alocacao por frente, apesar de fecharem o mesmo total de 60h.</t>
        </is>
      </c>
      <c r="E187" s="18" t="inlineStr">
        <is>
          <t>DOC-C08-008: 'Central, rotas e chamadas 12 | Ofertas e cadastros 6 | Tres pecas editoriais 15 | Demonstracoes 15 | Publicacao e agenda 5 | Teste e conferencia 7 | Total 60'. DOC-C05-001, Somatorio por Value Stream: 'Control Plane 6h | Paginas, destinos, CTAs e formularios 10h | Commerce / Hotmart / afiliados / produtos 8h | 3 Packages editoriais 15h | 3 Showrooms 9h | CMS + distribuicao 5h | QA / tracking 7h | TOTAL 60h'.</t>
        </is>
      </c>
      <c r="F187" s="17" t="inlineStr">
        <is>
          <t>DOC-C08-008;DOC-C05-001</t>
        </is>
      </c>
      <c r="G187" s="17" t="inlineStr">
        <is>
          <t>medium</t>
        </is>
      </c>
      <c r="H187" s="17" t="inlineStr">
        <is>
          <t>medium</t>
        </is>
      </c>
      <c r="I187" s="18" t="inlineStr">
        <is>
          <t>Escolher uma das duas alocacoes como oficial; commerce com 6h ou 8h muda diretamente o que cabe no D3.</t>
        </is>
      </c>
      <c r="J187" s="17" t="inlineStr">
        <is>
          <t>conflict</t>
        </is>
      </c>
    </row>
    <row r="188">
      <c r="A188" s="17" t="inlineStr">
        <is>
          <t>RI-781750bd1c</t>
        </is>
      </c>
      <c r="B188" s="17" t="inlineStr">
        <is>
          <t>ECO-08</t>
        </is>
      </c>
      <c r="C188" s="17" t="inlineStr">
        <is>
          <t>SA-13</t>
        </is>
      </c>
      <c r="D188" s="18" t="inlineStr">
        <is>
          <t>Existem dois planos de 14 dias sobre a mesma capacidade de 6h/dia, um do lancamento Executar e um da campanha Risco Cognitivo.</t>
        </is>
      </c>
      <c r="E188" s="18" t="inlineStr">
        <is>
          <t>DOC-C08-011 lista a fila unica de 14 dias 25/08 a 07/09 do lancamento Executar. O BMC do Risco Cognitivo (data 2026-08-28) descreve '14 dias, campanha, 18 ativos' com D1-D14 proprios. Nenhum documento reconcilia os dois calendarios.</t>
        </is>
      </c>
      <c r="F188" s="17" t="inlineStr">
        <is>
          <t>DOC-C08-011;DOC-C02-039;DOC-C08-008</t>
        </is>
      </c>
      <c r="G188" s="17" t="inlineStr">
        <is>
          <t>high</t>
        </is>
      </c>
      <c r="H188" s="17" t="inlineStr">
        <is>
          <t>high</t>
        </is>
      </c>
      <c r="I188" s="18" t="inlineStr">
        <is>
          <t>Sequenciar as duas campanhas; 18 ativos editoriais somados a 3 pecas e 3 showrooms nao cabem em 72h.</t>
        </is>
      </c>
      <c r="J188" s="17" t="inlineStr">
        <is>
          <t>conflict</t>
        </is>
      </c>
    </row>
    <row r="189">
      <c r="A189" s="17" t="inlineStr">
        <is>
          <t>RI-f448f440d1</t>
        </is>
      </c>
      <c r="B189" s="17" t="inlineStr">
        <is>
          <t>ECO-05</t>
        </is>
      </c>
      <c r="C189" s="17" t="inlineStr">
        <is>
          <t>SA-07A</t>
        </is>
      </c>
      <c r="D189" s="18" t="inlineStr">
        <is>
          <t>A cadeia de infoproduto tem uma dependencia externa fora do controle do operador: aprovacao de conta e de produto na plataforma.</t>
        </is>
      </c>
      <c r="E189" s="18" t="inlineStr">
        <is>
          <t>DOC-C09-015 exige 'teste de compra quando possivel' e 'Registrar ligacao final e captura/estado de aprovacao ou disponibilidade'; DOC-C05-001, D1: 'iniciar dependencias externas Amazon/Hotmart' com DoD 'pendencias externas disparadas'.</t>
        </is>
      </c>
      <c r="F189" s="17" t="inlineStr">
        <is>
          <t>DOC-C09-015;DOC-C05-001</t>
        </is>
      </c>
      <c r="G189" s="17" t="inlineStr">
        <is>
          <t>high</t>
        </is>
      </c>
      <c r="H189" s="17" t="inlineStr">
        <is>
          <t>high</t>
        </is>
      </c>
      <c r="I189" s="18" t="inlineStr">
        <is>
          <t>Disparar cadastro Hotmart e Amazon no primeiro dia util; sao os dois unicos itens do plano cujo prazo nao depende do operador.</t>
        </is>
      </c>
      <c r="J189" s="17" t="inlineStr">
        <is>
          <t>fact</t>
        </is>
      </c>
    </row>
    <row r="190">
      <c r="A190" s="17" t="inlineStr">
        <is>
          <t>RI-7eaa2e6842</t>
        </is>
      </c>
      <c r="B190" s="17" t="inlineStr">
        <is>
          <t>ECO-04</t>
        </is>
      </c>
      <c r="C190" s="17" t="inlineStr">
        <is>
          <t>SA-08B</t>
        </is>
      </c>
      <c r="D190" s="18" t="inlineStr">
        <is>
          <t>O acervo reconhece que o vinculo entre produto fisico e retencao e uma proposta a validar, nao um fato.</t>
        </is>
      </c>
      <c r="E190" s="18" t="inlineStr">
        <is>
          <t>Dashboard QL-0039, acao secundaria: 'Validar economia unitaria e vinculo real entre fisico e retencao'.</t>
        </is>
      </c>
      <c r="F190" s="17" t="inlineStr">
        <is>
          <t>DOC-C07-009</t>
        </is>
      </c>
      <c r="G190" s="17" t="inlineStr">
        <is>
          <t>high</t>
        </is>
      </c>
      <c r="H190" s="17" t="inlineStr">
        <is>
          <t>medium</t>
        </is>
      </c>
      <c r="I190" s="18" t="inlineStr">
        <is>
          <t>Definir a metrica que testaria esse vinculo (ex.: uso do app entre compradores do kit) antes de investir na linha.</t>
        </is>
      </c>
      <c r="J190" s="17" t="inlineStr">
        <is>
          <t>fact</t>
        </is>
      </c>
    </row>
    <row r="191">
      <c r="A191" s="17" t="inlineStr">
        <is>
          <t>RI-5cc886e42d</t>
        </is>
      </c>
      <c r="B191" s="17" t="inlineStr">
        <is>
          <t>ECO-05</t>
        </is>
      </c>
      <c r="C191" s="17" t="inlineStr">
        <is>
          <t>SA-09C</t>
        </is>
      </c>
      <c r="D191" s="18" t="inlineStr">
        <is>
          <t>O curso ja tem estrutura pedagogica dimensionada, o que reduz o risco de escopo indefinido na producao.</t>
        </is>
      </c>
      <c r="E191" s="18" t="inlineStr">
        <is>
          <t>Ecossistema, 'O curso principal': 'Modulos principais 4 - um por E | Aulas por modulo 4-6 | Total de aulas 18-24 | Duracao por aula 6-12 min | Video total ~2,5-4 horas | Aplicacoes guiadas ~2 horas adicionais | Avaliacao Checkpoint por modulo | Material de apoio Workbook + mapas + templates | Conclusao Projeto pessoal / sistema minimo implementado'.</t>
        </is>
      </c>
      <c r="F191" s="17" t="inlineStr">
        <is>
          <t>DOC-C05-001;DOC-C09-013</t>
        </is>
      </c>
      <c r="G191" s="17" t="inlineStr">
        <is>
          <t>high</t>
        </is>
      </c>
      <c r="H191" s="17" t="inlineStr">
        <is>
          <t>medium</t>
        </is>
      </c>
      <c r="I191" s="18" t="inlineStr">
        <is>
          <t>Anunciar no lancamento apenas o modulo 01 gravado e o restante com data, conforme o proprio requisito de transparencia de DOC-C09-013.</t>
        </is>
      </c>
      <c r="J191" s="17" t="inlineStr">
        <is>
          <t>fact</t>
        </is>
      </c>
    </row>
    <row r="192">
      <c r="A192" s="17" t="inlineStr">
        <is>
          <t>RI-b3c3a7e722</t>
        </is>
      </c>
      <c r="B192" s="17" t="inlineStr">
        <is>
          <t>ECO-05</t>
        </is>
      </c>
      <c r="C192" s="17" t="inlineStr">
        <is>
          <t>SA-08C</t>
        </is>
      </c>
      <c r="D192" s="18" t="inlineStr">
        <is>
          <t>O concorrente de referencia mais proximo em preco e catalogo e uma escola ampla de 200+ aulas a R$ 197, mesmo valor do bundle proprio.</t>
        </is>
      </c>
      <c r="E192" s="18" t="inlineStr">
        <is>
          <t>Ecossistema, Benchmark curso: 'Escola ampla para adulto com TDAH | 200+ aulas | R$ 197'; escada propria: 'Curso + biblioteca R$ 197 Oferta principal'.</t>
        </is>
      </c>
      <c r="F192" s="17" t="inlineStr">
        <is>
          <t>DOC-C05-001</t>
        </is>
      </c>
      <c r="G192" s="17" t="inlineStr">
        <is>
          <t>high</t>
        </is>
      </c>
      <c r="H192" s="17" t="inlineStr">
        <is>
          <t>medium</t>
        </is>
      </c>
      <c r="I192" s="18" t="inlineStr">
        <is>
          <t>Diferenciar o bundle de R$ 197 por aplicacao guiada e ferramentas, ja que em volume de aulas a comparacao e desfavoravel.</t>
        </is>
      </c>
      <c r="J192" s="17" t="inlineStr">
        <is>
          <t>inference</t>
        </is>
      </c>
    </row>
    <row r="193">
      <c r="A193" s="17" t="inlineStr">
        <is>
          <t>RI-54653bfb79</t>
        </is>
      </c>
      <c r="B193" s="17" t="inlineStr">
        <is>
          <t>ECO-05</t>
        </is>
      </c>
      <c r="C193" s="17" t="inlineStr">
        <is>
          <t>SA-09B</t>
        </is>
      </c>
      <c r="D193" s="18" t="inlineStr">
        <is>
          <t>A linha digital entra no lancamento com quatro produtos, dois formatos por titulo e dois canais de venda, contra 6 horas planejadas de ofertas e cadastros.</t>
        </is>
      </c>
      <c r="E193" s="18" t="inlineStr">
        <is>
          <t>DOC-C09-011 (tres titulos, 'formato interativo + PDF complementar'), DOC-C09-013 (curso, 4 modulos), DOC-C09-016 ('A pagina propria e a Hotmart devem apontar para a mesma mensagem e oferta') e DOC-C08-008 ('Ofertas e cadastros 6' horas).</t>
        </is>
      </c>
      <c r="F193" s="17" t="inlineStr">
        <is>
          <t>DOC-C09-011;DOC-C09-013;DOC-C09-016;DOC-C08-008</t>
        </is>
      </c>
      <c r="G193" s="17" t="inlineStr">
        <is>
          <t>high</t>
        </is>
      </c>
      <c r="H193" s="17" t="inlineStr">
        <is>
          <t>high</t>
        </is>
      </c>
      <c r="I193" s="18" t="inlineStr">
        <is>
          <t>Cortar escopo para um titulo em um formato e um canal no 07/09; o restante entra com data posterior, como o proprio requisito permite.</t>
        </is>
      </c>
      <c r="J193" s="17" t="inlineStr">
        <is>
          <t>inference</t>
        </is>
      </c>
    </row>
    <row r="194">
      <c r="A194" s="17" t="inlineStr">
        <is>
          <t>RI-f184c0b044</t>
        </is>
      </c>
      <c r="B194" s="17" t="inlineStr">
        <is>
          <t>ECO-05</t>
        </is>
      </c>
      <c r="C194" s="17" t="inlineStr">
        <is>
          <t>SA-10B</t>
        </is>
      </c>
      <c r="D194" s="18" t="inlineStr">
        <is>
          <t>A capacidade de vencer no infoproduto e sustentada por espinha editorial propria e preco decidido, e limitada por producao ainda inexistente.</t>
        </is>
      </c>
      <c r="E194" s="18" t="inlineStr">
        <is>
          <t>A favor: 4E aplicado a todos os produtos, padrao de capitulo em 10 blocos e precos decididos (R$ 39,90 / R$ 97 / R$ 197) em DOC-C05-001. Contra: DOC-C09-013 lista 'descricao e promessa' e 'estrutura dos modulos' como itens ainda por fechar.</t>
        </is>
      </c>
      <c r="F194" s="17" t="inlineStr">
        <is>
          <t>DOC-C05-001;DOC-C09-013</t>
        </is>
      </c>
      <c r="G194" s="17" t="inlineStr">
        <is>
          <t>high</t>
        </is>
      </c>
      <c r="H194" s="17" t="inlineStr">
        <is>
          <t>high</t>
        </is>
      </c>
      <c r="I194" s="18" t="inlineStr">
        <is>
          <t>Gravar o modulo 01 e publicar um titulo completo antes de 05/09; sem entregavel real a espinha editorial nao converte.</t>
        </is>
      </c>
      <c r="J194" s="17" t="inlineStr">
        <is>
          <t>inference</t>
        </is>
      </c>
    </row>
    <row r="195">
      <c r="A195" s="17" t="inlineStr">
        <is>
          <t>RI-55914cdd91</t>
        </is>
      </c>
      <c r="B195" s="17" t="inlineStr">
        <is>
          <t>ECO-06</t>
        </is>
      </c>
      <c r="C195" s="17" t="inlineStr">
        <is>
          <t>SA-04B</t>
        </is>
      </c>
      <c r="D195" s="18" t="inlineStr">
        <is>
          <t>Nao existe ICP dos livros digitais: os tres titulos sao descritos por papel editorial, nao por leitor.</t>
        </is>
      </c>
      <c r="E195" s="18" t="inlineStr">
        <is>
          <t>DOC-C09-011: 'Aplicando o TDAH Adulto - tutorial pratico | TDAH e Gestao de Riscos na Pratica - risco aplicado | Gerenciando o TDAH Adulto 360 - visao sistemica'; nenhuma linha descreve para quem cada titulo existe.</t>
        </is>
      </c>
      <c r="F195" s="17" t="inlineStr">
        <is>
          <t>DOC-C09-011</t>
        </is>
      </c>
      <c r="G195" s="17" t="inlineStr">
        <is>
          <t>high</t>
        </is>
      </c>
      <c r="H195" s="17" t="inlineStr">
        <is>
          <t>high</t>
        </is>
      </c>
      <c r="I195" s="18" t="inlineStr">
        <is>
          <t>Atribuir um leitor nomeado a cada titulo antes da capa final; sem isso os tres titulos competem entre si na mesma vitrine.</t>
        </is>
      </c>
      <c r="J195" s="17" t="inlineStr">
        <is>
          <t>gap</t>
        </is>
      </c>
    </row>
    <row r="196">
      <c r="A196" s="17" t="inlineStr">
        <is>
          <t>RI-a84cb6515b</t>
        </is>
      </c>
      <c r="B196" s="17" t="inlineStr">
        <is>
          <t>ECO-06</t>
        </is>
      </c>
      <c r="C196" s="17" t="inlineStr">
        <is>
          <t>SA-08A</t>
        </is>
      </c>
      <c r="D196" s="18" t="inlineStr">
        <is>
          <t>A empresa posiciona os livros digitais como produto de entrada e aplicacao dentro da escada, e nao como produto principal.</t>
        </is>
      </c>
      <c r="E196" s="18" t="inlineStr">
        <is>
          <t>DOC-C09-016, Papel no lancamento: 'Livros digitais funcionam como produto de entrada e aplicacao. Curso funciona como aplicacao guiada'; Ecossistema: 'os e-books sao recortes aplicados e aprofundamentos' do curso produto-mae.</t>
        </is>
      </c>
      <c r="F196" s="17" t="inlineStr">
        <is>
          <t>DOC-C09-016;DOC-C05-001</t>
        </is>
      </c>
      <c r="G196" s="17" t="inlineStr">
        <is>
          <t>high</t>
        </is>
      </c>
      <c r="H196" s="17" t="inlineStr">
        <is>
          <t>medium</t>
        </is>
      </c>
      <c r="I196" s="18" t="inlineStr">
        <is>
          <t>Ordenar a vitrine da biblioteca por essa hierarquia: livro digital como porta de entrada com CTA para o curso.</t>
        </is>
      </c>
      <c r="J196" s="17" t="inlineStr">
        <is>
          <t>fact</t>
        </is>
      </c>
    </row>
    <row r="197">
      <c r="A197" s="17" t="inlineStr">
        <is>
          <t>RI-f96f3008bb</t>
        </is>
      </c>
      <c r="B197" s="17" t="inlineStr">
        <is>
          <t>ECO-06</t>
        </is>
      </c>
      <c r="C197" s="17" t="inlineStr">
        <is>
          <t>SA-09A</t>
        </is>
      </c>
      <c r="D197" s="18" t="inlineStr">
        <is>
          <t>A linha de livros tem microestrutura de capitulo padronizada em dez blocos, o que torna a producao repetivel.</t>
        </is>
      </c>
      <c r="E197" s="18" t="inlineStr">
        <is>
          <t>Ecossistema, 'Microestrutura obrigatoria de cada capitulo': '01 Situacao real | 02 Entenda em 2 minutos | 03 Mapa visual | 04 Por que isso acontece | 05 Na pratica | 06 Faca agora | 07 Ferramenta | 08 Interacao | 09 Evidencia | 10 Proximo passo'.</t>
        </is>
      </c>
      <c r="F197" s="17" t="inlineStr">
        <is>
          <t>DOC-C05-001;DOC-C09-011</t>
        </is>
      </c>
      <c r="G197" s="17" t="inlineStr">
        <is>
          <t>high</t>
        </is>
      </c>
      <c r="H197" s="17" t="inlineStr">
        <is>
          <t>medium</t>
        </is>
      </c>
      <c r="I197" s="18" t="inlineStr">
        <is>
          <t>Usar os dez blocos como gabarito de escrita e como definicao de pronto de cada capitulo.</t>
        </is>
      </c>
      <c r="J197" s="17" t="inlineStr">
        <is>
          <t>fact</t>
        </is>
      </c>
    </row>
    <row r="198">
      <c r="A198" s="17" t="inlineStr">
        <is>
          <t>RI-5e7b47f6cd</t>
        </is>
      </c>
      <c r="B198" s="17" t="inlineStr">
        <is>
          <t>ECO-06</t>
        </is>
      </c>
      <c r="C198" s="17" t="inlineStr">
        <is>
          <t>SA-09D</t>
        </is>
      </c>
      <c r="D198" s="18" t="inlineStr">
        <is>
          <t>O maior risco da linha de livros e prometer catalogo maior do que o que existe, ja materializado em peca visual.</t>
        </is>
      </c>
      <c r="E198" s="18" t="inlineStr">
        <is>
          <t>DOC-C13-005 exibe cinco capas e cinco categorias; DOC-C09-011 tem tres titulos em estado 'estruturar cadastro'; DOC-C13-004 adverte: 'Estas imagens sao referencias de direcao visual e produto... nao confunda referencia com material aprovado para publicacao'.</t>
        </is>
      </c>
      <c r="F198" s="17" t="inlineStr">
        <is>
          <t>DOC-C13-005;DOC-C09-011;DOC-C13-004</t>
        </is>
      </c>
      <c r="G198" s="17" t="inlineStr">
        <is>
          <t>high</t>
        </is>
      </c>
      <c r="H198" s="17" t="inlineStr">
        <is>
          <t>high</t>
        </is>
      </c>
      <c r="I198" s="18" t="inlineStr">
        <is>
          <t>Bloquear a publicacao de qualquer peca de catalogo que exiba titulo sem arquivo pronto ou data de entrega declarada.</t>
        </is>
      </c>
      <c r="J198" s="17" t="inlineStr">
        <is>
          <t>fact</t>
        </is>
      </c>
    </row>
    <row r="199">
      <c r="A199" s="17" t="inlineStr">
        <is>
          <t>RI-8a5e9fb404</t>
        </is>
      </c>
      <c r="B199" s="17" t="inlineStr">
        <is>
          <t>ECO-08</t>
        </is>
      </c>
      <c r="C199" s="17" t="inlineStr">
        <is>
          <t>SA-09C</t>
        </is>
      </c>
      <c r="D199" s="18" t="inlineStr">
        <is>
          <t>A maior oportunidade do ecossistema creator e o efeito composto de uma peca canonica que alimenta simultaneamente biblioteca, e-book e curso.</t>
        </is>
      </c>
      <c r="E199" s="18" t="inlineStr">
        <is>
          <t>Ecossistema, cadeia unica de valor editorial: '05 Artigo canonico SSOT editorial ... 10 E-book Aplicacao estruturada | 11 Curso Aplicacao guiada | 13 Caso e evidencia Voltam a materia-prima editorial'; e '11 Trecho reaproveitavel no e-book/curso' entre as doze projecoes.</t>
        </is>
      </c>
      <c r="F199" s="17" t="inlineStr">
        <is>
          <t>DOC-C05-001</t>
        </is>
      </c>
      <c r="G199" s="17" t="inlineStr">
        <is>
          <t>high</t>
        </is>
      </c>
      <c r="H199" s="17" t="inlineStr">
        <is>
          <t>medium</t>
        </is>
      </c>
      <c r="I199" s="18" t="inlineStr">
        <is>
          <t>Escrever as tres pecas editoriais do lancamento ja como capitulos reaproveitaveis dos livros digitais, nao como posts avulsos.</t>
        </is>
      </c>
      <c r="J199" s="17" t="inlineStr">
        <is>
          <t>fact</t>
        </is>
      </c>
    </row>
    <row r="200">
      <c r="A200" s="17" t="inlineStr">
        <is>
          <t>RI-9ac473723e</t>
        </is>
      </c>
      <c r="B200" s="17" t="inlineStr">
        <is>
          <t>ECO-08</t>
        </is>
      </c>
      <c r="C200" s="17" t="inlineStr">
        <is>
          <t>SA-08B</t>
        </is>
      </c>
      <c r="D200" s="18" t="inlineStr">
        <is>
          <t>O relacionamento com a audiencia esta definido por acoes de baixo compromisso antes de qualquer oferta.</t>
        </is>
      </c>
      <c r="E200" s="18" t="inlineStr">
        <is>
          <t>BMC, Relacao com audiencia: 'Ler, explorar, assinar e baixar o Mapa de Risco Cognitivo; medir interesse antes de introduzir o EXECUTAR'; texto 2.txt: 'com CTA para ler, explorar, assinar ou baixar - nao para comprar/conhecer o EXECUTAR'.</t>
        </is>
      </c>
      <c r="F200" s="17" t="inlineStr">
        <is>
          <t>DOC-C02-039;DOC-C02-042</t>
        </is>
      </c>
      <c r="G200" s="17" t="inlineStr">
        <is>
          <t>high</t>
        </is>
      </c>
      <c r="H200" s="17" t="inlineStr">
        <is>
          <t>medium</t>
        </is>
      </c>
      <c r="I200" s="18" t="inlineStr">
        <is>
          <t>Manter a campanha de categoria sem CTA de compra e medir assinatura e download como conversao primaria.</t>
        </is>
      </c>
      <c r="J200" s="17" t="inlineStr">
        <is>
          <t>fact</t>
        </is>
      </c>
    </row>
  </sheetData>
  <autoFilter ref="A1:J2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40" customWidth="1" min="3" max="3"/>
    <col width="60" customWidth="1" min="4" max="4"/>
    <col width="52" customWidth="1" min="5" max="5"/>
    <col width="12" customWidth="1" min="6" max="6"/>
    <col width="12" customWidth="1" min="7" max="7"/>
    <col width="12" customWidth="1" min="8" max="8"/>
  </cols>
  <sheetData>
    <row r="1">
      <c r="A1" s="16" t="inlineStr">
        <is>
          <t>decisao_id</t>
        </is>
      </c>
      <c r="B1" s="16" t="inlineStr">
        <is>
          <t>contexto</t>
        </is>
      </c>
      <c r="C1" s="16" t="inlineStr">
        <is>
          <t>decisao</t>
        </is>
      </c>
      <c r="D1" s="16" t="inlineStr">
        <is>
          <t>alternativas</t>
        </is>
      </c>
      <c r="E1" s="16" t="inlineStr">
        <is>
          <t>justificativa</t>
        </is>
      </c>
      <c r="F1" s="16" t="inlineStr">
        <is>
          <t>data</t>
        </is>
      </c>
      <c r="G1" s="16" t="inlineStr">
        <is>
          <t>impacto</t>
        </is>
      </c>
      <c r="H1" s="16" t="inlineStr">
        <is>
          <t>origem</t>
        </is>
      </c>
    </row>
    <row r="2">
      <c r="A2" s="17" t="inlineStr">
        <is>
          <t>DEC-ff1bcb4e65</t>
        </is>
      </c>
      <c r="B2" s="18" t="inlineStr">
        <is>
          <t>§03-T1 marca 9.4 como TBD, mas §05 do mesmo bloco enumera cinco dependências estratégicas materiais.</t>
        </is>
      </c>
      <c r="C2" s="17" t="inlineStr">
        <is>
          <t>em aberto</t>
        </is>
      </c>
      <c r="D2" s="17" t="n"/>
      <c r="E2" s="17" t="inlineStr">
        <is>
          <t>Formalizar o grafo em vez de tratar como ausência de dado.</t>
        </is>
      </c>
      <c r="F2" s="17" t="inlineStr">
        <is>
          <t>2026-08-31</t>
        </is>
      </c>
      <c r="G2" s="17" t="inlineStr">
        <is>
          <t>9.4</t>
        </is>
      </c>
      <c r="H2" s="17" t="inlineStr">
        <is>
          <t>maestro</t>
        </is>
      </c>
    </row>
    <row r="3">
      <c r="A3" s="17" t="inlineStr">
        <is>
          <t>DEC-84b2314af2</t>
        </is>
      </c>
      <c r="B3" s="18" t="inlineStr">
        <is>
          <t>§03-T1 marca 10.1 como TBD, mas §05-Cronograma traz oito marcos datados entre 07/09/2026 e 10/01/2027.</t>
        </is>
      </c>
      <c r="C3" s="17" t="inlineStr">
        <is>
          <t>em aberto</t>
        </is>
      </c>
      <c r="D3" s="17" t="n"/>
      <c r="E3" s="18" t="inlineStr">
        <is>
          <t>Eleger o marco #1 — candidato: Gate de Revisão de 24/10/2026.</t>
        </is>
      </c>
      <c r="F3" s="17" t="inlineStr">
        <is>
          <t>2026-08-31</t>
        </is>
      </c>
      <c r="G3" s="17" t="inlineStr">
        <is>
          <t>10.1</t>
        </is>
      </c>
      <c r="H3" s="17" t="inlineStr">
        <is>
          <t>maestro</t>
        </is>
      </c>
    </row>
    <row r="4">
      <c r="A4" s="17" t="inlineStr">
        <is>
          <t>DEC-cdcde76419</t>
        </is>
      </c>
      <c r="B4" s="18" t="inlineStr">
        <is>
          <t>O valor real é "Ciclo Zero", que não consta das opções previstas no formulário original (Editorial / Desenvolvimento / Governança).</t>
        </is>
      </c>
      <c r="C4" s="17" t="inlineStr">
        <is>
          <t>em aberto</t>
        </is>
      </c>
      <c r="D4" s="17" t="n"/>
      <c r="E4" s="17" t="inlineStr">
        <is>
          <t>Ampliar o domínio de valores do campo.</t>
        </is>
      </c>
      <c r="F4" s="17" t="inlineStr">
        <is>
          <t>2026-08-31</t>
        </is>
      </c>
      <c r="G4" s="17" t="inlineStr">
        <is>
          <t>10.2</t>
        </is>
      </c>
      <c r="H4" s="17" t="inlineStr">
        <is>
          <t>maestro</t>
        </is>
      </c>
    </row>
    <row r="5">
      <c r="A5" s="17" t="inlineStr">
        <is>
          <t>DEC-bb32e9e562</t>
        </is>
      </c>
      <c r="B5" s="18" t="inlineStr">
        <is>
          <t>OUT-33 exige 34 IDs do XLS Entrypoint; o formulário fundido tem 122 campos.</t>
        </is>
      </c>
      <c r="C5" s="18" t="inlineStr">
        <is>
          <t>Decisão operacional do Maestro, na ausência de instrução contrária: preencher os 122 campos do formulário fundido, que é superconjunto dos 34 IDs exigidos por OUT-33 (1.1–1.12, 8.1–8.5, 9.1–9.4, 10.1–10.4, 12.1–12.3, 14.1–14.3, 16.1–16.3). Assim nenhum ID obrigatório de OUT-33 fica de fora (OUT-69) e o excedente permanece rastreável. Reversível se o owner pedir escopo estrito.</t>
        </is>
      </c>
      <c r="D5" s="17" t="n"/>
      <c r="E5" s="17" t="inlineStr">
        <is>
          <t>Decisão do owner sobre o escopo de preenchimento.</t>
        </is>
      </c>
      <c r="F5" s="17" t="inlineStr">
        <is>
          <t>2026-08-31</t>
        </is>
      </c>
      <c r="G5" s="17" t="inlineStr">
        <is>
          <t>escopo INS-01</t>
        </is>
      </c>
      <c r="H5" s="17" t="inlineStr">
        <is>
          <t>maestro</t>
        </is>
      </c>
    </row>
    <row r="6">
      <c r="A6" s="17" t="inlineStr">
        <is>
          <t>DEC-760d30c732</t>
        </is>
      </c>
      <c r="B6" s="18" t="inlineStr">
        <is>
          <t>O cronograma de envio (dias 1–6, 31/08 a 05/09/2026) coexiste com o roadmap do projeto (07/09/2026 a 10/01/2027). São eixos distintos: preenchimento documental vs. execução do ecossistema.</t>
        </is>
      </c>
      <c r="C6" s="17" t="inlineStr">
        <is>
          <t>em aberto</t>
        </is>
      </c>
      <c r="D6" s="17" t="n"/>
      <c r="E6" s="18" t="inlineStr">
        <is>
          <t>Nenhuma — registrado para evitar leitura equivocada de conflito de datas.</t>
        </is>
      </c>
      <c r="F6" s="17" t="inlineStr">
        <is>
          <t>2026-08-31</t>
        </is>
      </c>
      <c r="G6" s="17" t="inlineStr">
        <is>
          <t>calendário</t>
        </is>
      </c>
      <c r="H6" s="17" t="inlineStr">
        <is>
          <t>maestro</t>
        </is>
      </c>
    </row>
    <row r="7">
      <c r="A7" s="17" t="inlineStr">
        <is>
          <t>DEC-4270e3477c</t>
        </is>
      </c>
      <c r="B7" s="18" t="inlineStr">
        <is>
          <t>Ha duas posicoes incompativeis sobre dimensionamento de mercado dentro do mesmo acervo.</t>
        </is>
      </c>
      <c r="C7" s="17" t="inlineStr">
        <is>
          <t>NAO ARBITRADO — conflito preservado</t>
        </is>
      </c>
      <c r="D7" s="18" t="inlineStr">
        <is>
          <t>Versao A (QT-0131/132/133): TAM R$5,07 bi, SAM R$357,3 mi, SOM R$3,26 mi em 3 anos. Versao B (dashboard V3 Final): 'Contexto de mercado. Nao equivale a TAM do EXECUTAR' e 'Strict VERIFIED 0'.</t>
        </is>
      </c>
      <c r="E7" s="18" t="inlineStr">
        <is>
          <t>Registrar formalmente que a V3 supera a estimativa herdada e marcar QT-0131/132/133 como legado nao verificado no proprio warehouse.</t>
        </is>
      </c>
      <c r="F7" s="17" t="inlineStr">
        <is>
          <t>2026-08-31</t>
        </is>
      </c>
      <c r="G7" s="17" t="inlineStr">
        <is>
          <t>ECO-01/SA-03B</t>
        </is>
      </c>
      <c r="H7" s="17" t="inlineStr">
        <is>
          <t>strategic_analysis</t>
        </is>
      </c>
    </row>
    <row r="8">
      <c r="A8" s="17" t="inlineStr">
        <is>
          <t>DEC-445c3d3510</t>
        </is>
      </c>
      <c r="B8" s="18" t="inlineStr">
        <is>
          <t>A meta herdada de 500.000 inscritos contradiz a regra vigente de nao fixar metas sem baseline.</t>
        </is>
      </c>
      <c r="C8" s="17" t="inlineStr">
        <is>
          <t>NAO ARBITRADO — conflito preservado</t>
        </is>
      </c>
      <c r="D8" s="18" t="inlineStr">
        <is>
          <t>QT-0135: 'Meta de inscritos 500000.0'. DOC-C02-043 (Objetivo SMART): 'Nao estabelecer ainda metas arbitrarias de seguidores ou leads sem baseline.'</t>
        </is>
      </c>
      <c r="E8" s="18" t="inlineStr">
        <is>
          <t>Aposentar a meta de 500 mil ate a campanha D1-D14 gerar baseline de visualizacoes, retencao, inscricoes e downloads.</t>
        </is>
      </c>
      <c r="F8" s="17" t="inlineStr">
        <is>
          <t>2026-08-31</t>
        </is>
      </c>
      <c r="G8" s="17" t="inlineStr">
        <is>
          <t>ECO-02/SA-03D</t>
        </is>
      </c>
      <c r="H8" s="17" t="inlineStr">
        <is>
          <t>strategic_analysis</t>
        </is>
      </c>
    </row>
    <row r="9">
      <c r="A9" s="17" t="inlineStr">
        <is>
          <t>DEC-771e78fe33</t>
        </is>
      </c>
      <c r="B9" s="18" t="inlineStr">
        <is>
          <t>Ha tensao entre a segmentacao clinica do editorial e a segmentacao comportamental do produto.</t>
        </is>
      </c>
      <c r="C9" s="17" t="inlineStr">
        <is>
          <t>NAO ARBITRADO — conflito preservado</t>
        </is>
      </c>
      <c r="D9" s="18" t="inlineStr">
        <is>
          <t>Editorial (QL-0018): publico e 'adultos com TDAH'. Produto (ICP-01): 'diagnostico nao define o ICP comercial inicial'. As duas convivem no mesmo funil de lancamento de 07/09.</t>
        </is>
      </c>
      <c r="E9" s="18" t="inlineStr">
        <is>
          <t>Decidir e registrar como o trafego editorial (TDAH) converte para uma oferta que nao usa TDAH como criterio, evitando promessa implicita de tratamento.</t>
        </is>
      </c>
      <c r="F9" s="17" t="inlineStr">
        <is>
          <t>2026-08-31</t>
        </is>
      </c>
      <c r="G9" s="17" t="inlineStr">
        <is>
          <t>ECO-01/SA-04A</t>
        </is>
      </c>
      <c r="H9" s="17" t="inlineStr">
        <is>
          <t>strategic_analysis</t>
        </is>
      </c>
    </row>
    <row r="10">
      <c r="A10" s="17" t="inlineStr">
        <is>
          <t>DEC-e8aac19797</t>
        </is>
      </c>
      <c r="B10" s="18" t="inlineStr">
        <is>
          <t>Ha conflito registrado sobre a alocacao da receita de AdSense ao braco social.</t>
        </is>
      </c>
      <c r="C10" s="17" t="inlineStr">
        <is>
          <t>NAO ARBITRADO — conflito preservado</t>
        </is>
      </c>
      <c r="D10" s="18" t="inlineStr">
        <is>
          <t>QT-0152: 'Alocacao de AdSense inicialmente cogitada 70,0% da receita'; QT-0153: 'Alocacao inicial recomendada 10,0%'; QL-0016: '70% ... e considerada incompativel com reinvestimento e consistencia operacional'.</t>
        </is>
      </c>
      <c r="E10" s="18" t="inlineStr">
        <is>
          <t>Registrar formalmente a decisao (10%) e o motivo, para que a versao de 70% nao volte por copia de material antigo.</t>
        </is>
      </c>
      <c r="F10" s="17" t="inlineStr">
        <is>
          <t>2026-08-31</t>
        </is>
      </c>
      <c r="G10" s="17" t="inlineStr">
        <is>
          <t>ECO-02/SA-06A</t>
        </is>
      </c>
      <c r="H10" s="17" t="inlineStr">
        <is>
          <t>strategic_analysis</t>
        </is>
      </c>
    </row>
    <row r="11">
      <c r="A11" s="17" t="inlineStr">
        <is>
          <t>DEC-4f498c61b9</t>
        </is>
      </c>
      <c r="B11" s="18" t="inlineStr">
        <is>
          <t>Ha duas arquiteturas editoriais concorrentes no acervo, com categorias diferentes.</t>
        </is>
      </c>
      <c r="C11" s="17" t="inlineStr">
        <is>
          <t>NAO ARBITRADO — conflito preservado</t>
        </is>
      </c>
      <c r="D11" s="18" t="inlineStr">
        <is>
          <t>Versao A (DOC-C02-043/DOC-C01-005): territorio 'Risco Cognitivo', mais amplo que TDAH. Versao B (DOC-C10-003): 'Arquitetura editorial unica - Categoria: TDAH adulto aplicado ao trabalho, a gestao e a execucao', com tres pilares e 4E.</t>
        </is>
      </c>
      <c r="E11" s="18" t="inlineStr">
        <is>
          <t>Decidir se sao duas publicacoes (Risco Cognitivo e Biblioteca EXECUTAR) ou uma; hoje o lancamento de 07/09 usa a Versao B e o pacote Risco Cognitivo usa a Versao A.</t>
        </is>
      </c>
      <c r="F11" s="17" t="inlineStr">
        <is>
          <t>2026-08-31</t>
        </is>
      </c>
      <c r="G11" s="17" t="inlineStr">
        <is>
          <t>ECO-02/SA-11A</t>
        </is>
      </c>
      <c r="H11" s="17" t="inlineStr">
        <is>
          <t>strategic_analysis</t>
        </is>
      </c>
    </row>
    <row r="12">
      <c r="A12" s="17" t="inlineStr">
        <is>
          <t>DEC-b1f7cf8210</t>
        </is>
      </c>
      <c r="B12" s="18" t="inlineStr">
        <is>
          <t>Ha conflito direto entre a sequencia editorial (produto por ultimo) e o GTM de 07/09 (produto e ofertas no dia um).</t>
        </is>
      </c>
      <c r="C12" s="17" t="inlineStr">
        <is>
          <t>NAO ARBITRADO — conflito preservado</t>
        </is>
      </c>
      <c r="D12" s="18" t="inlineStr">
        <is>
          <t>DOC-C02-042/043: 'CTA inicial: ler, explorar, assinar e baixar... o EXECUTAR fica para uma campanha posterior'. DOC-C06-001/DOC-C08-011: lancamento em 07/09 com CTA-001 App, CTA-004 E-book, CTA-005 Curso, CTA-006 Studio, CTA-009 Office Kit e commerce em Hotmart configurado em D3.</t>
        </is>
      </c>
      <c r="E12" s="18" t="inlineStr">
        <is>
          <t>Resolver explicitamente: ou sao dois lancamentos com marcas separadas (Risco Cognitivo editorial e EXECUTAR comercial), ou a sequencia de categoria foi abandonada e isso precisa ser registrado como decisao.</t>
        </is>
      </c>
      <c r="F12" s="17" t="inlineStr">
        <is>
          <t>2026-08-31</t>
        </is>
      </c>
      <c r="G12" s="17" t="inlineStr">
        <is>
          <t>ECO-01/SA-11B</t>
        </is>
      </c>
      <c r="H12" s="17" t="inlineStr">
        <is>
          <t>strategic_analysis</t>
        </is>
      </c>
    </row>
    <row r="13">
      <c r="A13" s="17" t="inlineStr">
        <is>
          <t>DEC-b39dde0534</t>
        </is>
      </c>
      <c r="B13" s="18" t="inlineStr">
        <is>
          <t>Ha conflito entre a demonstracao planejada com QR e a decisao tecnica que substituiu QR por reconhecimento de forma.</t>
        </is>
      </c>
      <c r="C13" s="17" t="inlineStr">
        <is>
          <t>NAO ARBITRADO — conflito preservado</t>
        </is>
      </c>
      <c r="D13" s="18" t="inlineStr">
        <is>
          <t>DOC-C11-008 (Cena B): 'Usar QR/atalho para sair do objeto fisico e abrir o contexto correto'. DOC-C04-002: 'PR #75 substituiu QR impresso pelos 5 simbolos administrativos reconhecidos diretamente por forma na imagem da camera'.</t>
        </is>
      </c>
      <c r="E13" s="18" t="inlineStr">
        <is>
          <t>Atualizar o roteiro da Demonstracao 03 antes da gravacao de 02/09; gravar QR mostraria funcionalidade que nao existe mais.</t>
        </is>
      </c>
      <c r="F13" s="17" t="inlineStr">
        <is>
          <t>2026-08-31</t>
        </is>
      </c>
      <c r="G13" s="17" t="inlineStr">
        <is>
          <t>ECO-01/SA-12</t>
        </is>
      </c>
      <c r="H13" s="17" t="inlineStr">
        <is>
          <t>strategic_analysis</t>
        </is>
      </c>
    </row>
    <row r="14">
      <c r="A14" s="17" t="inlineStr">
        <is>
          <t>DEC-ce0bea302c</t>
        </is>
      </c>
      <c r="B14" s="18" t="inlineStr">
        <is>
          <t>Ha conflito sobre a extensao do artigo fundador entre dois documentos do mesmo pacote.</t>
        </is>
      </c>
      <c r="C14" s="17" t="inlineStr">
        <is>
          <t>NAO ARBITRADO — conflito preservado</t>
        </is>
      </c>
      <c r="D14" s="18" t="inlineStr">
        <is>
          <t>DOC-C01-004 (Execute): 'Escreva primeiro aproximadamente 2.500-3.500 palavras'. DOC-C02-043 e DOC-C02-042: 'Meta atual: 1.200-1.800 palavras e 14-18 paragrafos; a proposta anterior de cerca de 3.000 palavras foi descartada' e RC-040 registra a revisao.</t>
        </is>
      </c>
      <c r="E14" s="18" t="inlineStr">
        <is>
          <t>Marcar DOC-C01-004 como versao superada nesse ponto especifico; sem isso o redator pode escrever o dobro do necessario.</t>
        </is>
      </c>
      <c r="F14" s="17" t="inlineStr">
        <is>
          <t>2026-08-31</t>
        </is>
      </c>
      <c r="G14" s="17" t="inlineStr">
        <is>
          <t>ECO-02/SA-13</t>
        </is>
      </c>
      <c r="H14" s="17" t="inlineStr">
        <is>
          <t>strategic_analysis</t>
        </is>
      </c>
    </row>
    <row r="15">
      <c r="A15" s="17" t="inlineStr">
        <is>
          <t>DEC-1b30c7c11b</t>
        </is>
      </c>
      <c r="B15" s="18" t="inlineStr">
        <is>
          <t>Nao existe SAM para a linha fisica; o SAM do acervo (R$ 357,3 mi) e do projeto agregado, alem de conflitar com um segundo valor de SAM (R$ 6,0 mi) no mesmo dashboard.</t>
        </is>
      </c>
      <c r="C15" s="17" t="inlineStr">
        <is>
          <t>NAO ARBITRADO — conflito preservado</t>
        </is>
      </c>
      <c r="D15" s="18" t="inlineStr">
        <is>
          <t>Dashboard QT-0132: 'SAM estimado', grupo_segmento 'Projeto Neuroexecucao Aplicada', valor_pontual 357300000.0, base_amostral 'Nao informada na imagem'; ha ainda um registro com indicador 'SAM' e valor_pontual 6000000.0 no mesmo conjunto.</t>
        </is>
      </c>
      <c r="E15" s="18" t="inlineStr">
        <is>
          <t>Nao usar nenhum dos dois SAM antes de identificar de qual imagem cada um veio e qual base amostral sustenta cada valor.</t>
        </is>
      </c>
      <c r="F15" s="17" t="inlineStr">
        <is>
          <t>2026-08-31</t>
        </is>
      </c>
      <c r="G15" s="17" t="inlineStr">
        <is>
          <t>ECO-04/SA-03C</t>
        </is>
      </c>
      <c r="H15" s="17" t="inlineStr">
        <is>
          <t>strategic_analysis</t>
        </is>
      </c>
    </row>
    <row r="16">
      <c r="A16" s="17" t="inlineStr">
        <is>
          <t>DEC-9b9b00e7e1</t>
        </is>
      </c>
      <c r="B16" s="18" t="inlineStr">
        <is>
          <t>A unica segmentacao explicita da linha fisica e de genero, e vem de uma peca visual, nao de documento de oferta.</t>
        </is>
      </c>
      <c r="C16" s="17" t="inlineStr">
        <is>
          <t>NAO ARBITRADO — conflito preservado</t>
        </is>
      </c>
      <c r="D16" s="18" t="inlineStr">
        <is>
          <t>Referencia visual de organizacao fisica: mockup 'executar.com/kit-semanal-masculino' com titulo 'Kit Semanal Masculino', 'Organizar - Usar - Lavar' e sacos SEG a DOM; DOC-C09-008 descreve o item apenas como 'Kit de organizacao fisica | rotina por dias'.</t>
        </is>
      </c>
      <c r="E16" s="18" t="inlineStr">
        <is>
          <t>Decidir se o kit de organizacao e neutro (rotina por dias) ou segmentado por genero; hoje a peca e o documento divergem.</t>
        </is>
      </c>
      <c r="F16" s="17" t="inlineStr">
        <is>
          <t>2026-08-31</t>
        </is>
      </c>
      <c r="G16" s="17" t="inlineStr">
        <is>
          <t>ECO-04/SA-04A</t>
        </is>
      </c>
      <c r="H16" s="17" t="inlineStr">
        <is>
          <t>strategic_analysis</t>
        </is>
      </c>
    </row>
    <row r="17">
      <c r="A17" s="17" t="inlineStr">
        <is>
          <t>DEC-9277db2e69</t>
        </is>
      </c>
      <c r="B17" s="18" t="inlineStr">
        <is>
          <t>O destino declarado dos livros digitais e a pagina Biblioteca, cujo objetivo esta descrito como aprofundamento e nao como venda.</t>
        </is>
      </c>
      <c r="C17" s="17" t="inlineStr">
        <is>
          <t>NAO ARBITRADO — conflito preservado</t>
        </is>
      </c>
      <c r="D17" s="18" t="inlineStr">
        <is>
          <t>DOC-C12-009, Biblioteca: 'Objetivo: organizar conteudo e aprofundamento. Chamada principal: CH-003 / CH-007'; o registro de chamadas define CH-003 'Explorar a biblioteca' e CH-007 'Ver o livro - ligacao de afiliado'; a chamada de livro digital e CH-004, que aponta para a Loja.</t>
        </is>
      </c>
      <c r="E17" s="18" t="inlineStr">
        <is>
          <t>Decidir se o livro digital e vendido na Loja (CH-004) ou exposto na Biblioteca (CH-003); hoje a Biblioteca leva a afiliado e nao a produto proprio.</t>
        </is>
      </c>
      <c r="F17" s="17" t="inlineStr">
        <is>
          <t>2026-08-31</t>
        </is>
      </c>
      <c r="G17" s="17" t="inlineStr">
        <is>
          <t>ECO-06/SA-11A</t>
        </is>
      </c>
      <c r="H17" s="17" t="inlineStr">
        <is>
          <t>strategic_analysis</t>
        </is>
      </c>
    </row>
    <row r="18">
      <c r="A18" s="17" t="inlineStr">
        <is>
          <t>DEC-c334794e67</t>
        </is>
      </c>
      <c r="B18" s="18" t="inlineStr">
        <is>
          <t>A fronteira ECO-06 esta contida dentro de ECO-05 na propria arvore de pastas e na nota de visao: livros digitais sao um filho de Infoprodutos.</t>
        </is>
      </c>
      <c r="C18" s="17" t="inlineStr">
        <is>
          <t>NAO ARBITRADO — conflito preservado</t>
        </is>
      </c>
      <c r="D18" s="18" t="inlineStr">
        <is>
          <t>ARVORE-DE-PASTAS.txt: '01-OFERTAS/ ... 04-INFOPRODUTOS/ 01-LIVROS-DIGITAIS/ 02-CURSO/ 03-HOTMART/'; DOC-C09-016 lista sob 'Mergulhe aqui': 'Livros digitais | Curso | Hotmart'; DOC-C09-009 lista as pastas 'Livros Digitais, Curso, Hotmart' como subpastas de Infoprodutos.</t>
        </is>
      </c>
      <c r="E18" s="18" t="inlineStr">
        <is>
          <t>Nao arbitrar em silencio: ou ECO-06 e redefinida como sub-linha de ECO-05, ou o acervo precisa separar fisicamente o livro autoral dos e-books comerciais.</t>
        </is>
      </c>
      <c r="F18" s="17" t="inlineStr">
        <is>
          <t>2026-08-31</t>
        </is>
      </c>
      <c r="G18" s="17" t="inlineStr">
        <is>
          <t>ECO-06/SA-03A</t>
        </is>
      </c>
      <c r="H18" s="17" t="inlineStr">
        <is>
          <t>strategic_analysis</t>
        </is>
      </c>
    </row>
    <row r="19">
      <c r="A19" s="17" t="inlineStr">
        <is>
          <t>DEC-af9a2bb64f</t>
        </is>
      </c>
      <c r="B19" s="18" t="inlineStr">
        <is>
          <t>Existem dois objetos distintos chamados livro no acervo, e apenas um deles esta na pasta de infoprodutos.</t>
        </is>
      </c>
      <c r="C19" s="17" t="inlineStr">
        <is>
          <t>NAO ARBITRADO — conflito preservado</t>
        </is>
      </c>
      <c r="D19" s="18" t="inlineStr">
        <is>
          <t>Objeto A - livros digitais comerciais: DOC-C09-011 'Aplicando o TDAH Adulto | TDAH e Gestao de Riscos na Pratica | Gerenciando o TDAH Adulto 360', estado 'estruturar cadastro'. Objeto B - livro autoral de expansao intelectual: MASTER_INDEX RC-028 'artigo/manifesto v0, white paper/framework v1, aplicacao no EXECUTAR, casos/dados, artigo academico, livro/curso', prazo DEPOIS; texto 2.txt: 'white paper/livro/curso = expansao intelectual'.</t>
        </is>
      </c>
      <c r="E19" s="18" t="inlineStr">
        <is>
          <t>Separar nominalmente as duas coisas: e-books Executar (ECO-05/06 comercial) e Livro Risco Cognitivo (ativo intelectual pos-white paper).</t>
        </is>
      </c>
      <c r="F19" s="17" t="inlineStr">
        <is>
          <t>2026-08-31</t>
        </is>
      </c>
      <c r="G19" s="17" t="inlineStr">
        <is>
          <t>ECO-06/SA-03A</t>
        </is>
      </c>
      <c r="H19" s="17" t="inlineStr">
        <is>
          <t>strategic_analysis</t>
        </is>
      </c>
    </row>
    <row r="20">
      <c r="A20" s="17" t="inlineStr">
        <is>
          <t>DEC-007f04d951</t>
        </is>
      </c>
      <c r="B20" s="18" t="inlineStr">
        <is>
          <t>O catalogo de livros na peca visual diverge do catalogo do documento de oferta: cinco titulos versus tres, sem o titulo de gestao de riscos.</t>
        </is>
      </c>
      <c r="C20" s="17" t="inlineStr">
        <is>
          <t>NAO ARBITRADO — conflito preservado</t>
        </is>
      </c>
      <c r="D20" s="18" t="inlineStr">
        <is>
          <t>DOC-C09-011 lista tres linhas: 'Aplicando o TDAH Adulto | TDAH e Gestao de Riscos na Pratica | Gerenciando o TDAH Adulto 360'. A referencia visual da biblioteca mostra cinco capas: 'Aplicando o TDAH Adulto (Adultos) | TDAH Kids (Kids) | Gerenciando o TDAH Adulto (Adultos) | Gerenciando o TDAH Kids (Familias) | Automacoes Neuroadaptadas (Automacoes)'. Em DOC-C05-001, Kids e automacoes constam como 'I4+ Kids, familias, automacoes etc. - Biblioteca futura - Roadmap'.</t>
        </is>
      </c>
      <c r="E20" s="18" t="inlineStr">
        <is>
          <t>Refazer a peca da biblioteca com o catalogo real de lancamento ou adiar a peca; publicar cinco capas de tres livros existentes cria promessa falsa.</t>
        </is>
      </c>
      <c r="F20" s="17" t="inlineStr">
        <is>
          <t>2026-08-31</t>
        </is>
      </c>
      <c r="G20" s="17" t="inlineStr">
        <is>
          <t>ECO-06/SA-05</t>
        </is>
      </c>
      <c r="H20" s="17" t="inlineStr">
        <is>
          <t>strategic_analysis</t>
        </is>
      </c>
    </row>
    <row r="21">
      <c r="A21" s="17" t="inlineStr">
        <is>
          <t>DEC-b4d383e36f</t>
        </is>
      </c>
      <c r="B21" s="18" t="inlineStr">
        <is>
          <t>O nome 'Gerenciando o TDAH Adulto' identifica ao mesmo tempo o curso, um e-book na capa de referencia e um e-book '360' na nota de oferta.</t>
        </is>
      </c>
      <c r="C21" s="17" t="inlineStr">
        <is>
          <t>NAO ARBITRADO — conflito preservado</t>
        </is>
      </c>
      <c r="D21" s="18" t="inlineStr">
        <is>
          <t>DOC-C09-013: 'Curso - Gerenciando o TDAH Adulto'. DOC-C09-011: e-book 'Gerenciando o TDAH Adulto 360 - visao sistemica'. Referencia visual: capa com selo 'E-book' e titulo 'GERENCIANDO O TDAH ADULTO - Trabalho, foco e execucao - Projetos, clientes, processos, rotina'.</t>
        </is>
      </c>
      <c r="E21" s="18" t="inlineStr">
        <is>
          <t>Renomear um dos dois antes do cadastro; nomes identicos em SKUs de precos diferentes quebram a escada comercial e o checkout.</t>
        </is>
      </c>
      <c r="F21" s="17" t="inlineStr">
        <is>
          <t>2026-08-31</t>
        </is>
      </c>
      <c r="G21" s="17" t="inlineStr">
        <is>
          <t>ECO-05/SA-12</t>
        </is>
      </c>
      <c r="H21" s="17" t="inlineStr">
        <is>
          <t>strategic_analysis</t>
        </is>
      </c>
    </row>
    <row r="22">
      <c r="A22" s="17" t="inlineStr">
        <is>
          <t>DEC-69caa0247f</t>
        </is>
      </c>
      <c r="B22" s="18" t="inlineStr">
        <is>
          <t>Existem duas versoes incompativeis do bundle fisico: uma composicao com Timer e organizacao a R$ 369 e outra so de papelaria a R$ 349.</t>
        </is>
      </c>
      <c r="C22" s="17" t="inlineStr">
        <is>
          <t>NAO ARBITRADO — conflito preservado</t>
        </is>
      </c>
      <c r="D22" s="18" t="inlineStr">
        <is>
          <t>Versao A - DOC-C09-008 e DOC-C05-001: 'Executar Office Kit: Neurobook + Timer 45 + Organizacao + componentes de mesa/reprints selecionados'; exemplo 'Neurobook R$ 149 + Timer R$ 119 + Organizacao R$ 79 + acessorios R$ 99 = R$ 446... Se o kit for R$ 369'. Versao B - referencia visual: 'Kit TDAH Planner Reprint, R$ 349,00 ou 6x de R$ 58,17', incluindo 'Sprint Planner, Neuroagenda, Rolo de Etiquetas, Reguas de Acrilico, Reprint + QR' - sem Timer e sem saquinhos.</t>
        </is>
      </c>
      <c r="E22" s="18" t="inlineStr">
        <is>
          <t>Escolher uma composicao e um nome unicos antes de produzir qualquer imagem publica; hoje ha dois produtos diferentes com o mesmo papel.</t>
        </is>
      </c>
      <c r="F22" s="17" t="inlineStr">
        <is>
          <t>2026-08-31</t>
        </is>
      </c>
      <c r="G22" s="17" t="inlineStr">
        <is>
          <t>ECO-04/SA-06B</t>
        </is>
      </c>
      <c r="H22" s="17" t="inlineStr">
        <is>
          <t>strategic_analysis</t>
        </is>
      </c>
    </row>
    <row r="23">
      <c r="A23" s="17" t="inlineStr">
        <is>
          <t>DEC-dc2deb1024</t>
        </is>
      </c>
      <c r="B23" s="18" t="inlineStr">
        <is>
          <t>A peca visual mostra operacao de compra completa enquanto a regra da unidade determina lancar sem operacao de compra.</t>
        </is>
      </c>
      <c r="C23" s="17" t="inlineStr">
        <is>
          <t>NAO ARBITRADO — conflito preservado</t>
        </is>
      </c>
      <c r="D23" s="18" t="inlineStr">
        <is>
          <t>DOC-C09-008: 'No lancamento, priorizar pagina, lista de interesse e proposta de conjunto quando a operacao de compra ainda nao estiver pronta'. Referencia visual: botao 'ADICIONAR AO CARRINHO', carrinho com 1 item, 'ou 6x de R$ 58,17', 'Compra 100% segura', 'Frete gratis acima de R$ 199'.</t>
        </is>
      </c>
      <c r="E23" s="18" t="inlineStr">
        <is>
          <t>Alinhar a peca a decisao: se e lista de interesse, o CTA e 'Entrar na lista' e nao 'Adicionar ao carrinho'.</t>
        </is>
      </c>
      <c r="F23" s="17" t="inlineStr">
        <is>
          <t>2026-08-31</t>
        </is>
      </c>
      <c r="G23" s="17" t="inlineStr">
        <is>
          <t>ECO-04/SA-13</t>
        </is>
      </c>
      <c r="H23" s="17" t="inlineStr">
        <is>
          <t>strategic_analysis</t>
        </is>
      </c>
    </row>
    <row r="24">
      <c r="A24" s="17" t="inlineStr">
        <is>
          <t>DEC-60df93c5f0</t>
        </is>
      </c>
      <c r="B24" s="18" t="inlineStr">
        <is>
          <t>As roupas estao explicitamente fora da primeira fase no documento e aparecem como heroi da peca visual do kit de organizacao.</t>
        </is>
      </c>
      <c r="C24" s="17" t="inlineStr">
        <is>
          <t>NAO ARBITRADO — conflito preservado</t>
        </is>
      </c>
      <c r="D24" s="18" t="inlineStr">
        <is>
          <t>DOC-C05-001: 'P4 Roupas - Fora do escopo atual - As roupas mostradas no conceito visual nao entram nesta primeira fase - Nao lancar agora'. Referencia visual de organizacao fisica: mockup 'Kit Semanal Masculino' com polos, bermudas e meias ocupando metade da area principal e CTA 'COMPRAR KIT SEMANAL'.</t>
        </is>
      </c>
      <c r="E24" s="18" t="inlineStr">
        <is>
          <t>Refazer a peca sem vestuario ou adiar a peca; ela vende exatamente o que a decisao de escopo excluiu.</t>
        </is>
      </c>
      <c r="F24" s="17" t="inlineStr">
        <is>
          <t>2026-08-31</t>
        </is>
      </c>
      <c r="G24" s="17" t="inlineStr">
        <is>
          <t>ECO-04/SA-11A</t>
        </is>
      </c>
      <c r="H24" s="17" t="inlineStr">
        <is>
          <t>strategic_analysis</t>
        </is>
      </c>
    </row>
    <row r="25">
      <c r="A25" s="17" t="inlineStr">
        <is>
          <t>DEC-8aabcebfd0</t>
        </is>
      </c>
      <c r="B25" s="18" t="inlineStr">
        <is>
          <t>As pecas visuais mostram tres storefronts com navegacoes distintas, enquanto o plano prevê uma unica pagina Loja.</t>
        </is>
      </c>
      <c r="C25" s="17" t="inlineStr">
        <is>
          <t>NAO ARBITRADO — conflito preservado</t>
        </is>
      </c>
      <c r="D25" s="18" t="inlineStr">
        <is>
          <t>DOC-C12-008 define uma pagina 'Loja' com objetivo 'produtos fisicos + infoprodutos'. As pecas mostram: 'executar.com/kit-tdah-planner-reprint' com nav 'Inicio, Produtos, Sistema, Comunidade, Sobre'; 'executar.com/kit-semanal-masculino' com nav 'KITS, SACOS, ORGANIZADORES, ACESSORIOS'; e a biblioteca com nav 'Inicio, Sobre, Biblioteca, Planos, Comunidade, Recursos'.</t>
        </is>
      </c>
      <c r="E25" s="18" t="inlineStr">
        <is>
          <t>Congelar uma arquitetura de navegacao unica antes de produzir imagens; tres navs diferentes tornam impossivel confirmar rotas em RT-001 a RT-010.</t>
        </is>
      </c>
      <c r="F25" s="17" t="inlineStr">
        <is>
          <t>2026-08-31</t>
        </is>
      </c>
      <c r="G25" s="17" t="inlineStr">
        <is>
          <t>ECO-04/SA-13</t>
        </is>
      </c>
      <c r="H25" s="17" t="inlineStr">
        <is>
          <t>strategic_analysis</t>
        </is>
      </c>
    </row>
    <row r="26">
      <c r="A26" s="17" t="inlineStr">
        <is>
          <t>DEC-a055b95fd6</t>
        </is>
      </c>
      <c r="B26" s="18" t="inlineStr">
        <is>
          <t>A peca da biblioteca sugere modelo de assinatura, enquanto a arquitetura comercial documentada e de compra unitaria em escada.</t>
        </is>
      </c>
      <c r="C26" s="17" t="inlineStr">
        <is>
          <t>NAO ARBITRADO — conflito preservado</t>
        </is>
      </c>
      <c r="D26" s="18" t="inlineStr">
        <is>
          <t>Referencia visual da biblioteca: item de menu 'Planos', botao 'Entrar', CTA 'FACA PARTE DA BIBLIOTECA EXECUTAR' e selos 'Atualizacoes constantes' e 'Acesso em qualquer lugar e dispositivo'. DOC-C05-001 define degraus com precos unitarios (R$ 39,90, R$ 99-129, R$ 97, R$ 197) e nao menciona assinatura em nenhum ponto da arquitetura comercial.</t>
        </is>
      </c>
      <c r="E26" s="18" t="inlineStr">
        <is>
          <t>Decidir se existe assinatura antes do lancamento; um selo de 'atualizacoes constantes' cria obrigacao de entrega recorrente nao planejada.</t>
        </is>
      </c>
      <c r="F26" s="17" t="inlineStr">
        <is>
          <t>2026-08-31</t>
        </is>
      </c>
      <c r="G26" s="17" t="inlineStr">
        <is>
          <t>ECO-05/SA-06A</t>
        </is>
      </c>
      <c r="H26" s="17" t="inlineStr">
        <is>
          <t>strategic_analysis</t>
        </is>
      </c>
    </row>
    <row r="27">
      <c r="A27" s="17" t="inlineStr">
        <is>
          <t>DEC-db4136bf89</t>
        </is>
      </c>
      <c r="B27" s="18" t="inlineStr">
        <is>
          <t>Ha duas estrategias de canal incompativeis no acervo: quatro canais de distribuicao ativos e um unico canal com playlists.</t>
        </is>
      </c>
      <c r="C27" s="17" t="inlineStr">
        <is>
          <t>NAO ARBITRADO — conflito preservado</t>
        </is>
      </c>
      <c r="D27" s="18" t="inlineStr">
        <is>
          <t>Versao A - DOC-C05-001 e as notas PUB: 'DISTRIBUICAO 01 YouTube | 02 Instagram | 03 TikTok | 04 LinkedIn', com PUB-002, PUB-003 e PUB-004 criadas. Versao B - Dashboard QL-0038, subtema 'Simplificacao de canais': 'A estrategia de cinco canais e substituida por um canal principal com playlists'; acao: 'Reduzir dispersao operacional e medir consistencia por ciclo'.</t>
        </is>
      </c>
      <c r="E27" s="18" t="inlineStr">
        <is>
          <t>Registrar qual decisao vale para 07/09; manter as duas versoes ativas garante dispersao dentro de 5h de publicacao e agenda.</t>
        </is>
      </c>
      <c r="F27" s="17" t="inlineStr">
        <is>
          <t>2026-08-31</t>
        </is>
      </c>
      <c r="G27" s="17" t="inlineStr">
        <is>
          <t>ECO-08/SA-13</t>
        </is>
      </c>
      <c r="H27" s="17" t="inlineStr">
        <is>
          <t>strategic_analysis</t>
        </is>
      </c>
    </row>
    <row r="28">
      <c r="A28" s="17" t="inlineStr">
        <is>
          <t>DEC-1c6cc01a93</t>
        </is>
      </c>
      <c r="B28" s="18" t="inlineStr">
        <is>
          <t>Blog e newsletter aparecem como canal inicial prioritario em uma fonte e como apenas dois entre oito plataformas em outra.</t>
        </is>
      </c>
      <c r="C28" s="17" t="inlineStr">
        <is>
          <t>NAO ARBITRADO — conflito preservado</t>
        </is>
      </c>
      <c r="D28" s="18" t="inlineStr">
        <is>
          <t>Dashboard QL-000057: 'A equipe decidiu priorizar um blog visual-first com newsletter como canal inicial, com a hipotese de que blogs gerariam mais leads qualificados do que redes sociais dispersas para este publico'; acao: 'Concentrar recursos iniciais de marketing em conteudo de blog e newsletter antes de expandir para redes sociais'. DOC-C05-001 estrutura oito posicoes (4 owned + 4 distribuicao) sem hierarquia de fase.</t>
        </is>
      </c>
      <c r="E28" s="18" t="inlineStr">
        <is>
          <t>Adotar a hierarquia por fase: blog e newsletter no lancamento, redes como derivado, e registrar isso na agenda mestra.</t>
        </is>
      </c>
      <c r="F28" s="17" t="inlineStr">
        <is>
          <t>2026-08-31</t>
        </is>
      </c>
      <c r="G28" s="17" t="inlineStr">
        <is>
          <t>ECO-08/SA-11A</t>
        </is>
      </c>
      <c r="H28" s="17" t="inlineStr">
        <is>
          <t>strategic_analysis</t>
        </is>
      </c>
    </row>
    <row r="29">
      <c r="A29" s="17" t="inlineStr">
        <is>
          <t>DEC-7d098635c7</t>
        </is>
      </c>
      <c r="B29" s="18" t="inlineStr">
        <is>
          <t>A comunidade aparece como item de menu ativo e como selo de produto nas pecas visuais, mas o acervo textual a classifica como futura.</t>
        </is>
      </c>
      <c r="C29" s="17" t="inlineStr">
        <is>
          <t>NAO ARBITRADO — conflito preservado</t>
        </is>
      </c>
      <c r="D29" s="18" t="inlineStr">
        <is>
          <t>Ecossistema: 'OWNED 04 Executar / comunidade futura - Continuidade e aplicacao'. Pecas visuais: nav 'Comunidade' na loja do Office Kit e na biblioteca; selo 'COMUNIDADE E APOIO' na capa de 'Aplicando o TDAH Adulto'; selo 'Comunidade e apoio' entre os quatro beneficios do Kit TDAH Planner Reprint.</t>
        </is>
      </c>
      <c r="E29" s="18" t="inlineStr">
        <is>
          <t>Remover a promessa de comunidade das pecas ou definir o que a comunidade e em 07/09; hoje ela e prometida em tres superficies e nao existe.</t>
        </is>
      </c>
      <c r="F29" s="17" t="inlineStr">
        <is>
          <t>2026-08-31</t>
        </is>
      </c>
      <c r="G29" s="17" t="inlineStr">
        <is>
          <t>ECO-08/SA-09B</t>
        </is>
      </c>
      <c r="H29" s="17" t="inlineStr">
        <is>
          <t>strategic_analysis</t>
        </is>
      </c>
    </row>
    <row r="30">
      <c r="A30" s="17" t="inlineStr">
        <is>
          <t>DEC-bfe54513d9</t>
        </is>
      </c>
      <c r="B30" s="18" t="inlineStr">
        <is>
          <t>As duas fontes de capacidade divergem na alocacao por frente, apesar de fecharem o mesmo total de 60h.</t>
        </is>
      </c>
      <c r="C30" s="17" t="inlineStr">
        <is>
          <t>NAO ARBITRADO — conflito preservado</t>
        </is>
      </c>
      <c r="D30" s="18" t="inlineStr">
        <is>
          <t>DOC-C08-008: 'Central, rotas e chamadas 12 | Ofertas e cadastros 6 | Tres pecas editoriais 15 | Demonstracoes 15 | Publicacao e agenda 5 | Teste e conferencia 7 | Total 60'. DOC-C05-001, Somatorio por Value Stream: 'Control Plane 6h | Paginas, destinos, CTAs e formularios 10h | Commerce / Hotmart / afiliados / produtos 8h | 3 Packages editoriais 15h | 3 Showrooms 9h | CMS + distribuicao 5h | QA / tracking 7h | TOTAL 60h'.</t>
        </is>
      </c>
      <c r="E30" s="18" t="inlineStr">
        <is>
          <t>Escolher uma das duas alocacoes como oficial; commerce com 6h ou 8h muda diretamente o que cabe no D3.</t>
        </is>
      </c>
      <c r="F30" s="17" t="inlineStr">
        <is>
          <t>2026-08-31</t>
        </is>
      </c>
      <c r="G30" s="17" t="inlineStr">
        <is>
          <t>ECO-05/SA-07B</t>
        </is>
      </c>
      <c r="H30" s="17" t="inlineStr">
        <is>
          <t>strategic_analysis</t>
        </is>
      </c>
    </row>
    <row r="31">
      <c r="A31" s="17" t="inlineStr">
        <is>
          <t>DEC-781750bd1c</t>
        </is>
      </c>
      <c r="B31" s="18" t="inlineStr">
        <is>
          <t>Existem dois planos de 14 dias sobre a mesma capacidade de 6h/dia, um do lancamento Executar e um da campanha Risco Cognitivo.</t>
        </is>
      </c>
      <c r="C31" s="17" t="inlineStr">
        <is>
          <t>NAO ARBITRADO — conflito preservado</t>
        </is>
      </c>
      <c r="D31" s="18" t="inlineStr">
        <is>
          <t>DOC-C08-011 lista a fila unica de 14 dias 25/08 a 07/09 do lancamento Executar. O BMC do Risco Cognitivo (data 2026-08-28) descreve '14 dias, campanha, 18 ativos' com D1-D14 proprios. Nenhum documento reconcilia os dois calendarios.</t>
        </is>
      </c>
      <c r="E31" s="18" t="inlineStr">
        <is>
          <t>Sequenciar as duas campanhas; 18 ativos editoriais somados a 3 pecas e 3 showrooms nao cabem em 72h.</t>
        </is>
      </c>
      <c r="F31" s="17" t="inlineStr">
        <is>
          <t>2026-08-31</t>
        </is>
      </c>
      <c r="G31" s="17" t="inlineStr">
        <is>
          <t>ECO-08/SA-13</t>
        </is>
      </c>
      <c r="H31" s="17" t="inlineStr">
        <is>
          <t>strategic_analysis</t>
        </is>
      </c>
    </row>
  </sheetData>
  <autoFilter ref="A1:H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40" customWidth="1" min="3" max="3"/>
    <col width="60" customWidth="1" min="4" max="4"/>
    <col width="22" customWidth="1" min="5" max="5"/>
    <col width="18" customWidth="1" min="6" max="6"/>
    <col width="15" customWidth="1" min="7" max="7"/>
    <col width="40" customWidth="1" min="8" max="8"/>
  </cols>
  <sheetData>
    <row r="1">
      <c r="A1" s="16" t="inlineStr">
        <is>
          <t>documento_id</t>
        </is>
      </c>
      <c r="B1" s="16" t="inlineStr">
        <is>
          <t>classificacao_id</t>
        </is>
      </c>
      <c r="C1" s="16" t="inlineStr">
        <is>
          <t>nome_arquivo</t>
        </is>
      </c>
      <c r="D1" s="16" t="inlineStr">
        <is>
          <t>caminho_relativo</t>
        </is>
      </c>
      <c r="E1" s="16" t="inlineStr">
        <is>
          <t>sha256</t>
        </is>
      </c>
      <c r="F1" s="16" t="inlineStr">
        <is>
          <t>tipo_documental</t>
        </is>
      </c>
      <c r="G1" s="16" t="inlineStr">
        <is>
          <t>vezes_citado</t>
        </is>
      </c>
      <c r="H1" s="16" t="inlineStr">
        <is>
          <t>evidencia_ids</t>
        </is>
      </c>
    </row>
    <row r="2">
      <c r="A2" s="17" t="inlineStr">
        <is>
          <t>DOC-C01-004</t>
        </is>
      </c>
      <c r="B2" s="17" t="inlineStr">
        <is>
          <t>C01</t>
        </is>
      </c>
      <c r="C2" s="17" t="inlineStr">
        <is>
          <t>02 - Estratégia Editorial e Artigo Fundador.md</t>
        </is>
      </c>
      <c r="D2" s="18" t="inlineStr">
        <is>
          <t>RISCO-CONITIVO/Risco_Cognitivo_Hub_Editorial_v1.3/01_DOCUMENTOS/02 - Estratégia Editorial e Artigo Fundador.md</t>
        </is>
      </c>
      <c r="E2" s="18" t="inlineStr">
        <is>
          <t>2839090886402d61ecd2e4e36af0b0784d6c7007608c5f433bdf58c9e9adf83f</t>
        </is>
      </c>
      <c r="F2" s="17" t="inlineStr">
        <is>
          <t>Estratégia e arquitetura</t>
        </is>
      </c>
      <c r="G2" s="17" t="inlineStr">
        <is>
          <t>1</t>
        </is>
      </c>
      <c r="H2" s="17" t="inlineStr">
        <is>
          <t>EV-51a2a417ea</t>
        </is>
      </c>
    </row>
    <row r="3">
      <c r="A3" s="17" t="inlineStr">
        <is>
          <t>DOC-C01-005</t>
        </is>
      </c>
      <c r="B3" s="17" t="inlineStr">
        <is>
          <t>C01</t>
        </is>
      </c>
      <c r="C3" s="17" t="inlineStr">
        <is>
          <t>03 - Framework de Risco Cognitivo e Prior Art.md</t>
        </is>
      </c>
      <c r="D3" s="18" t="inlineStr">
        <is>
          <t>RISCO-CONITIVO/Risco_Cognitivo_Hub_Editorial_v1.3/01_DOCUMENTOS/03 - Framework de Risco Cognitivo e Prior Art.md</t>
        </is>
      </c>
      <c r="E3" s="18" t="inlineStr">
        <is>
          <t>50209f47aeed6f91f58cbf624f2e0f863a39a943225929764f95f10d50711b7d</t>
        </is>
      </c>
      <c r="F3" s="17" t="inlineStr">
        <is>
          <t>Evidência e pesquisa</t>
        </is>
      </c>
      <c r="G3" s="17" t="inlineStr">
        <is>
          <t>12</t>
        </is>
      </c>
      <c r="H3" s="18" t="inlineStr">
        <is>
          <t>EV-976e759c3b;EV-6c03b1000c;EV-7b1eaab9ad;EV-7cf257a1f6;EV-da200e8c27;EV-227def7ce5;EV-5878d10342;EV-b5b513261b;EV-c06ba61b34;EV-98299e07d5;EV-597a8c63f1;EV-68ddd607f3</t>
        </is>
      </c>
    </row>
    <row r="4">
      <c r="A4" s="17" t="inlineStr">
        <is>
          <t>DOC-C01-006</t>
        </is>
      </c>
      <c r="B4" s="17" t="inlineStr">
        <is>
          <t>C01</t>
        </is>
      </c>
      <c r="C4" s="17" t="inlineStr">
        <is>
          <t>04 - Marca Editorial Risco Cognitivo.md</t>
        </is>
      </c>
      <c r="D4" s="18" t="inlineStr">
        <is>
          <t>RISCO-CONITIVO/Risco_Cognitivo_Hub_Editorial_v1.3/01_DOCUMENTOS/04 - Marca Editorial Risco Cognitivo.md</t>
        </is>
      </c>
      <c r="E4" s="18" t="inlineStr">
        <is>
          <t>1598e12ccbb5b2884a24222193f02a0e25830ef555c78433c671f8d700491fbd</t>
        </is>
      </c>
      <c r="F4" s="17" t="inlineStr">
        <is>
          <t>Estratégia e arquitetura</t>
        </is>
      </c>
      <c r="G4" s="17" t="inlineStr">
        <is>
          <t>2</t>
        </is>
      </c>
      <c r="H4" s="17" t="inlineStr">
        <is>
          <t>EV-864c677b05;EV-4ceeec2e1a</t>
        </is>
      </c>
    </row>
    <row r="5">
      <c r="A5" s="17" t="inlineStr">
        <is>
          <t>DOC-C02-002</t>
        </is>
      </c>
      <c r="B5" s="17" t="inlineStr">
        <is>
          <t>C02</t>
        </is>
      </c>
      <c r="C5" s="17" t="inlineStr">
        <is>
          <t>RISCO_COGNITIVO_MASTER_INDEX.csv</t>
        </is>
      </c>
      <c r="D5" s="18" t="inlineStr">
        <is>
          <t>RISCO-CONITIVO/RISCO-COGNITIVO  Fundacap /RISCO_COGNITIVO_MASTER_INDEX.csv</t>
        </is>
      </c>
      <c r="E5" s="18" t="inlineStr">
        <is>
          <t>5a4188f163e402aa8f88247805e540cf071131c4952208e8df6cdd17da6251cd</t>
        </is>
      </c>
      <c r="F5" s="17" t="inlineStr">
        <is>
          <t>Índice e inventário</t>
        </is>
      </c>
      <c r="G5" s="17" t="inlineStr">
        <is>
          <t>7</t>
        </is>
      </c>
      <c r="H5" s="18" t="inlineStr">
        <is>
          <t>EV-adabf06d4a;EV-1758438480;EV-998da9b9e4;EV-61f6b6946a;EV-dec324d198;EV-f901aa075d;EV-7b3a744c1d</t>
        </is>
      </c>
    </row>
    <row r="6">
      <c r="A6" s="17" t="inlineStr">
        <is>
          <t>DOC-C02-004</t>
        </is>
      </c>
      <c r="B6" s="17" t="inlineStr">
        <is>
          <t>C02</t>
        </is>
      </c>
      <c r="C6" s="17" t="inlineStr">
        <is>
          <t>EXECUTAR_ENTREGAVEIS_GATES_POR_AREA.csv</t>
        </is>
      </c>
      <c r="D6" s="18" t="inlineStr">
        <is>
          <t>RISCO-CONITIVO/RISCO-COGNITIVO  Fundacap /Riscognitivo/EXECUTAR_ENTREGAVEIS_GATES_POR_AREA.csv</t>
        </is>
      </c>
      <c r="E6" s="18" t="inlineStr">
        <is>
          <t>1345a5507c9cba88ecf8351d97d507b8c03f6f0a23cc232a085aa8dcbaa51938</t>
        </is>
      </c>
      <c r="F6" s="17" t="inlineStr">
        <is>
          <t>Base de dados e planilha</t>
        </is>
      </c>
      <c r="G6" s="17" t="inlineStr">
        <is>
          <t>4</t>
        </is>
      </c>
      <c r="H6" s="17" t="inlineStr">
        <is>
          <t>EV-d95ff2504e;EV-2a687a7d33;EV-8fdf4e01d3;EV-bf62c50f8f</t>
        </is>
      </c>
    </row>
    <row r="7">
      <c r="A7" s="17" t="inlineStr">
        <is>
          <t>DOC-C02-014</t>
        </is>
      </c>
      <c r="B7" s="17" t="inlineStr">
        <is>
          <t>C02</t>
        </is>
      </c>
      <c r="C7" s="17" t="inlineStr">
        <is>
          <t>RC-P01_PROJECT_BRIEF.txt</t>
        </is>
      </c>
      <c r="D7" s="18" t="inlineStr">
        <is>
          <t>RISCO-CONITIVO/RISCO-COGNITIVO  Fundacap /Riscognitivo/RISCO_COGNITIVO_OS_PARA/01_PROJECTS/P01_LANCAMENTO_BLOG/RC-P01_PROJECT_BRIEF.txt</t>
        </is>
      </c>
      <c r="E7" s="18" t="inlineStr">
        <is>
          <t>5d477181107e177208fc73d0bdf3bec07877b9d06412fe0adbab803545982c65</t>
        </is>
      </c>
      <c r="F7" s="17" t="inlineStr">
        <is>
          <t>Handoff e brief</t>
        </is>
      </c>
      <c r="G7" s="17" t="inlineStr">
        <is>
          <t>7</t>
        </is>
      </c>
      <c r="H7" s="18" t="inlineStr">
        <is>
          <t>EV-3718a6adf1;EV-9fff03638b;EV-9661c13eee;EV-36ecd5dd68;EV-e3e96d8028;EV-c42e2133bb;EV-298ca3739a</t>
        </is>
      </c>
    </row>
    <row r="8">
      <c r="A8" s="17" t="inlineStr">
        <is>
          <t>DOC-C02-015</t>
        </is>
      </c>
      <c r="B8" s="17" t="inlineStr">
        <is>
          <t>C02</t>
        </is>
      </c>
      <c r="C8" s="17" t="inlineStr">
        <is>
          <t>RC-P02-VAL01_VALIDACAO.txt</t>
        </is>
      </c>
      <c r="D8" s="18" t="inlineStr">
        <is>
          <t>RISCO-CONITIVO/RISCO-COGNITIVO  Fundacap /Riscognitivo/RISCO_COGNITIVO_OS_PARA/01_PROJECTS/P02_FRAMEWORK_CERM/RC-P02-VAL01_VALIDACAO.txt</t>
        </is>
      </c>
      <c r="E8" s="18" t="inlineStr">
        <is>
          <t>38f18771e7490d79913b090df4beade883ed8d1f9986e157cda63d3ba356e6ce</t>
        </is>
      </c>
      <c r="F8" s="17" t="inlineStr">
        <is>
          <t>Medição e validação</t>
        </is>
      </c>
      <c r="G8" s="17" t="inlineStr">
        <is>
          <t>4</t>
        </is>
      </c>
      <c r="H8" s="17" t="inlineStr">
        <is>
          <t>EV-69f96afd6b;EV-37a2ed6d65;EV-fe1951bcbe;EV-b6cc37aa22</t>
        </is>
      </c>
    </row>
    <row r="9">
      <c r="A9" s="17" t="inlineStr">
        <is>
          <t>DOC-C02-016</t>
        </is>
      </c>
      <c r="B9" s="17" t="inlineStr">
        <is>
          <t>C02</t>
        </is>
      </c>
      <c r="C9" s="17" t="inlineStr">
        <is>
          <t>RC-P02_FRAMEWORK_V0_1.txt</t>
        </is>
      </c>
      <c r="D9" s="18" t="inlineStr">
        <is>
          <t>RISCO-CONITIVO/RISCO-COGNITIVO  Fundacap /Riscognitivo/RISCO_COGNITIVO_OS_PARA/01_PROJECTS/P02_FRAMEWORK_CERM/RC-P02_FRAMEWORK_V0_1.txt</t>
        </is>
      </c>
      <c r="E9" s="18" t="inlineStr">
        <is>
          <t>c02413e286e9332bffdf481938dab4fd8a92305e5047478fa44182f310cc3939</t>
        </is>
      </c>
      <c r="F9" s="17" t="inlineStr">
        <is>
          <t>Estratégia e arquitetura</t>
        </is>
      </c>
      <c r="G9" s="17" t="inlineStr">
        <is>
          <t>7</t>
        </is>
      </c>
      <c r="H9" s="18" t="inlineStr">
        <is>
          <t>EV-f5dfa2ab27;EV-e3e3b74404;EV-2381b25f07;EV-76ef63fa93;EV-0559824216;EV-d41cb56318;EV-e862e36094</t>
        </is>
      </c>
    </row>
    <row r="10">
      <c r="A10" s="17" t="inlineStr">
        <is>
          <t>DOC-C02-017</t>
        </is>
      </c>
      <c r="B10" s="17" t="inlineStr">
        <is>
          <t>C02</t>
        </is>
      </c>
      <c r="C10" s="17" t="inlineStr">
        <is>
          <t>RC-P03_SITE_CMS_BRIEF.txt</t>
        </is>
      </c>
      <c r="D10" s="18" t="inlineStr">
        <is>
          <t>RISCO-CONITIVO/RISCO-COGNITIVO  Fundacap /Riscognitivo/RISCO_COGNITIVO_OS_PARA/01_PROJECTS/P03_SITE_CMS/RC-P03_SITE_CMS_BRIEF.txt</t>
        </is>
      </c>
      <c r="E10" s="18" t="inlineStr">
        <is>
          <t>a9d6e4108a6b6a085c19c3ea2a002a7518964bf8aee20953e88529868acb72c2</t>
        </is>
      </c>
      <c r="F10" s="17" t="inlineStr">
        <is>
          <t>Handoff e brief</t>
        </is>
      </c>
      <c r="G10" s="17" t="inlineStr">
        <is>
          <t>6</t>
        </is>
      </c>
      <c r="H10" s="18" t="inlineStr">
        <is>
          <t>EV-ebf7dd1990;EV-f77a1b9d17;EV-51cc07f648;EV-5612312d73;EV-b655fc9f07;EV-3a92ed7b27</t>
        </is>
      </c>
    </row>
    <row r="11">
      <c r="A11" s="17" t="inlineStr">
        <is>
          <t>DOC-C02-021</t>
        </is>
      </c>
      <c r="B11" s="17" t="inlineStr">
        <is>
          <t>C02</t>
        </is>
      </c>
      <c r="C11" s="17" t="inlineStr">
        <is>
          <t>RC-R01_EVIDENCIAS_TDAH.txt</t>
        </is>
      </c>
      <c r="D11" s="18" t="inlineStr">
        <is>
          <t>RISCO-CONITIVO/RISCO-COGNITIVO  Fundacap /Riscognitivo/RISCO_COGNITIVO_OS_PARA/03_RESOURCES/R01_TDAH_FUNCOES_EXECUTIVAS/RC-R01_EVIDENCIAS_TDAH.txt</t>
        </is>
      </c>
      <c r="E11" s="18" t="inlineStr">
        <is>
          <t>3300f8903921e64dffa968cbf1d712d0386bd7685eb907c40e6ef3b2cf7ea877</t>
        </is>
      </c>
      <c r="F11" s="17" t="inlineStr">
        <is>
          <t>Evidência e pesquisa</t>
        </is>
      </c>
      <c r="G11" s="17" t="inlineStr">
        <is>
          <t>4</t>
        </is>
      </c>
      <c r="H11" s="17" t="inlineStr">
        <is>
          <t>EV-161a0a642b;EV-c571b97b66;EV-8a3c42b08b;EV-0b17a4aaa5</t>
        </is>
      </c>
    </row>
    <row r="12">
      <c r="A12" s="17" t="inlineStr">
        <is>
          <t>DOC-C02-022</t>
        </is>
      </c>
      <c r="B12" s="17" t="inlineStr">
        <is>
          <t>C02</t>
        </is>
      </c>
      <c r="C12" s="17" t="inlineStr">
        <is>
          <t>RC-R02_EVIDENCIAS_RISCO_PM.txt</t>
        </is>
      </c>
      <c r="D12" s="18" t="inlineStr">
        <is>
          <t>RISCO-CONITIVO/RISCO-COGNITIVO  Fundacap /Riscognitivo/RISCO_COGNITIVO_OS_PARA/03_RESOURCES/R02_RISCO_GESTAO_PROJETOS/RC-R02_EVIDENCIAS_RISCO_PM.txt</t>
        </is>
      </c>
      <c r="E12" s="18" t="inlineStr">
        <is>
          <t>d2808db7f8bb1e7c1cbdc5fd4e30bca8201bf26f841fbfca2a803990da971967</t>
        </is>
      </c>
      <c r="F12" s="17" t="inlineStr">
        <is>
          <t>Evidência e pesquisa</t>
        </is>
      </c>
      <c r="G12" s="17" t="inlineStr">
        <is>
          <t>4</t>
        </is>
      </c>
      <c r="H12" s="17" t="inlineStr">
        <is>
          <t>EV-027ebf9edf;EV-43055a96a9;EV-692e07a753;EV-cd777b07aa</t>
        </is>
      </c>
    </row>
    <row r="13">
      <c r="A13" s="17" t="inlineStr">
        <is>
          <t>DOC-C02-029</t>
        </is>
      </c>
      <c r="B13" s="17" t="inlineStr">
        <is>
          <t>C02</t>
        </is>
      </c>
      <c r="C13" s="17" t="inlineStr">
        <is>
          <t>RISCO_COGNITIVO_CONTACTS.csv</t>
        </is>
      </c>
      <c r="D13" s="18" t="inlineStr">
        <is>
          <t>RISCO-CONITIVO/RISCO-COGNITIVO  Fundacap /Riscognitivo/RISCO_COGNITIVO_RESEARCH_BRAND_PACK/01_RESEARCH/RISCO_COGNITIVO_CONTACTS.csv</t>
        </is>
      </c>
      <c r="E13" s="18" t="inlineStr">
        <is>
          <t>776a8648aa16a5b123ae8159d1624457c17f8d2583f187d3a4851119f580316b</t>
        </is>
      </c>
      <c r="F13" s="17" t="inlineStr">
        <is>
          <t>Evidência e pesquisa</t>
        </is>
      </c>
      <c r="G13" s="17" t="inlineStr">
        <is>
          <t>3</t>
        </is>
      </c>
      <c r="H13" s="17" t="inlineStr">
        <is>
          <t>EV-b2054fe5cd;EV-868e698b7a;EV-6ec82291e8</t>
        </is>
      </c>
    </row>
    <row r="14">
      <c r="A14" s="17" t="inlineStr">
        <is>
          <t>DOC-C02-030</t>
        </is>
      </c>
      <c r="B14" s="17" t="inlineStr">
        <is>
          <t>C02</t>
        </is>
      </c>
      <c r="C14" s="17" t="inlineStr">
        <is>
          <t>RISCO_COGNITIVO_CORRELATED_TERMS.csv</t>
        </is>
      </c>
      <c r="D14" s="18" t="inlineStr">
        <is>
          <t>RISCO-CONITIVO/RISCO-COGNITIVO  Fundacap /Riscognitivo/RISCO_COGNITIVO_RESEARCH_BRAND_PACK/01_RESEARCH/RISCO_COGNITIVO_CORRELATED_TERMS.csv</t>
        </is>
      </c>
      <c r="E14" s="18" t="inlineStr">
        <is>
          <t>4131c747320ac4768c7e49f7889719b526fd5b4f43ab35a1c35695cca011f2cf</t>
        </is>
      </c>
      <c r="F14" s="17" t="inlineStr">
        <is>
          <t>Evidência e pesquisa</t>
        </is>
      </c>
      <c r="G14" s="17" t="inlineStr">
        <is>
          <t>4</t>
        </is>
      </c>
      <c r="H14" s="17" t="inlineStr">
        <is>
          <t>EV-62b0a91ffc;EV-f2e17c4f17;EV-d59b36932e;EV-97325e52ae</t>
        </is>
      </c>
    </row>
    <row r="15">
      <c r="A15" s="17" t="inlineStr">
        <is>
          <t>DOC-C02-031</t>
        </is>
      </c>
      <c r="B15" s="17" t="inlineStr">
        <is>
          <t>C02</t>
        </is>
      </c>
      <c r="C15" s="17" t="inlineStr">
        <is>
          <t>RISCO_COGNITIVO_RESEARCH_MAP.txt</t>
        </is>
      </c>
      <c r="D15" s="18" t="inlineStr">
        <is>
          <t>RISCO-CONITIVO/RISCO-COGNITIVO  Fundacap /Riscognitivo/RISCO_COGNITIVO_RESEARCH_BRAND_PACK/01_RESEARCH/RISCO_COGNITIVO_RESEARCH_MAP.txt</t>
        </is>
      </c>
      <c r="E15" s="18" t="inlineStr">
        <is>
          <t>9265000e16f6ff17b6ffa5737594726aca60fb8b03ec27468e00ed9b3f14cf7a</t>
        </is>
      </c>
      <c r="F15" s="17" t="inlineStr">
        <is>
          <t>Evidência e pesquisa</t>
        </is>
      </c>
      <c r="G15" s="17" t="inlineStr">
        <is>
          <t>9</t>
        </is>
      </c>
      <c r="H15" s="18" t="inlineStr">
        <is>
          <t>EV-749ccd2b35;EV-10399ea92d;EV-08608d69a6;EV-720717128e;EV-10f3be20cf;EV-f18f0eaaa0;EV-24b7517dc6;EV-8c1c53ed40;EV-9f94e7646a</t>
        </is>
      </c>
    </row>
    <row r="16">
      <c r="A16" s="17" t="inlineStr">
        <is>
          <t>DOC-C02-032</t>
        </is>
      </c>
      <c r="B16" s="17" t="inlineStr">
        <is>
          <t>C02</t>
        </is>
      </c>
      <c r="C16" s="17" t="inlineStr">
        <is>
          <t>RISCO_COGNITIVO_RESEARCH_SOURCES.csv</t>
        </is>
      </c>
      <c r="D16" s="18" t="inlineStr">
        <is>
          <t>RISCO-CONITIVO/RISCO-COGNITIVO  Fundacap /Riscognitivo/RISCO_COGNITIVO_RESEARCH_BRAND_PACK/01_RESEARCH/RISCO_COGNITIVO_RESEARCH_SOURCES.csv</t>
        </is>
      </c>
      <c r="E16" s="18" t="inlineStr">
        <is>
          <t>1cdb33d85b4aef1da36a7b600e94a0213da805042d0a60e5817a1e2598e1c32d</t>
        </is>
      </c>
      <c r="F16" s="17" t="inlineStr">
        <is>
          <t>Evidência e pesquisa</t>
        </is>
      </c>
      <c r="G16" s="17" t="inlineStr">
        <is>
          <t>4</t>
        </is>
      </c>
      <c r="H16" s="17" t="inlineStr">
        <is>
          <t>EV-eb5f8c5c02;EV-421441a4cc;EV-d0366af881;EV-38c24075df</t>
        </is>
      </c>
    </row>
    <row r="17">
      <c r="A17" s="17" t="inlineStr">
        <is>
          <t>DOC-C02-039</t>
        </is>
      </c>
      <c r="B17" s="17" t="inlineStr">
        <is>
          <t>C02</t>
        </is>
      </c>
      <c r="C17" s="17" t="inlineStr">
        <is>
          <t>risco-cognitivo-bmc-gantt.html</t>
        </is>
      </c>
      <c r="D17" s="18" t="inlineStr">
        <is>
          <t>RISCO-CONITIVO/RISCO-COGNITIVO  Fundacap /Riscognitivo/risco-cognitivo-bmc-gantt.html</t>
        </is>
      </c>
      <c r="E17" s="18" t="inlineStr">
        <is>
          <t>e95554bde9790143ccf28364b9cc91661c01144380783c2549dd52be90fc743c</t>
        </is>
      </c>
      <c r="F17" s="17" t="inlineStr">
        <is>
          <t>Plano e cronograma</t>
        </is>
      </c>
      <c r="G17" s="17" t="inlineStr">
        <is>
          <t>20</t>
        </is>
      </c>
      <c r="H17" s="18" t="inlineStr">
        <is>
          <t>EV-cc28969ecd;EV-2449eee931;EV-f15ec5403c;EV-14ec04afe1;EV-2fb9bffce3;EV-217b8eb80c;EV-0ff1bb3599;EV-ea21178614;EV-77c242e6d8;EV-6684f99824;EV-8358c7487f;EV-eba98938ac;EV-61dba27b6d;EV-22b65d1d1d;EV-99ab7fef51;EV-c8bea03a41;EV-e468f3d947;EV-c33a843c3c;EV-e409d1cbdb;EV-8ee7ae54c3</t>
        </is>
      </c>
    </row>
    <row r="18">
      <c r="A18" s="17" t="inlineStr">
        <is>
          <t>DOC-C02-042</t>
        </is>
      </c>
      <c r="B18" s="17" t="inlineStr">
        <is>
          <t>C02</t>
        </is>
      </c>
      <c r="C18" s="17" t="inlineStr">
        <is>
          <t>texto 2.txt</t>
        </is>
      </c>
      <c r="D18" s="18" t="inlineStr">
        <is>
          <t>RISCO-CONITIVO/RISCO-COGNITIVO  Fundacap /Riscognitivo/texto 2.txt</t>
        </is>
      </c>
      <c r="E18" s="18" t="inlineStr">
        <is>
          <t>240f5500e8a4372ae803e799f064728bb5e80d2154e07214cc2e069279e5df32</t>
        </is>
      </c>
      <c r="F18" s="17" t="inlineStr">
        <is>
          <t>Conteúdo editorial</t>
        </is>
      </c>
      <c r="G18" s="17" t="inlineStr">
        <is>
          <t>18</t>
        </is>
      </c>
      <c r="H18" s="18" t="inlineStr">
        <is>
          <t>EV-6016f7338c;EV-ad4e7387df;EV-d8c044acb0;EV-d75bc10167;EV-d2059102c2;EV-748741d195;EV-2bbc86af26;EV-c26f6d2b2a;EV-04336eeb0f;EV-59110ecfe7;EV-781cbf914a;EV-9bfa0e0fd0;EV-bbe323e8b7;EV-7808f43aaa;EV-e4c0c41e79;EV-6312453155;EV-76b854d5cf;EV-1509c16684</t>
        </is>
      </c>
    </row>
    <row r="19">
      <c r="A19" s="17" t="inlineStr">
        <is>
          <t>DOC-C02-043</t>
        </is>
      </c>
      <c r="B19" s="17" t="inlineStr">
        <is>
          <t>C02</t>
        </is>
      </c>
      <c r="C19" s="17" t="inlineStr">
        <is>
          <t>texto.txt</t>
        </is>
      </c>
      <c r="D19" s="18" t="inlineStr">
        <is>
          <t>RISCO-CONITIVO/RISCO-COGNITIVO  Fundacap /Riscognitivo/texto.txt</t>
        </is>
      </c>
      <c r="E19" s="18" t="inlineStr">
        <is>
          <t>2344c0f06fc56962c292bf6643ab14267519009adb4121370c5b7f720230a76d</t>
        </is>
      </c>
      <c r="F19" s="17" t="inlineStr">
        <is>
          <t>Conteúdo editorial</t>
        </is>
      </c>
      <c r="G19" s="17" t="inlineStr">
        <is>
          <t>21</t>
        </is>
      </c>
      <c r="H19" s="18" t="inlineStr">
        <is>
          <t>EV-dd70afc2df;EV-8d9f1d63d9;EV-d9d6da8b2f;EV-a8bd8f974c;EV-5fa55df3da;EV-a638439f74;EV-23a135a628;EV-2f8b652981;EV-fef42c5f96;EV-98c1a61ace;EV-15e9b8731f;EV-2572957474;EV-5d88a12b02;EV-019129319f;EV-c870c66d0d;EV-4b2c24d932;EV-a540974e61;EV-e899fa4e17;EV-1d0f1179a1;EV-36e07d8c0c</t>
        </is>
      </c>
    </row>
    <row r="20">
      <c r="A20" s="17" t="inlineStr">
        <is>
          <t>DOC-C03-002</t>
        </is>
      </c>
      <c r="B20" s="17" t="inlineStr">
        <is>
          <t>C03</t>
        </is>
      </c>
      <c r="C20" s="17" t="inlineStr">
        <is>
          <t>text 3.txt</t>
        </is>
      </c>
      <c r="D20" s="18" t="inlineStr">
        <is>
          <t>RISCO-CONITIVO/Estrategiua de porcioanamento e Blog /text 3.txt</t>
        </is>
      </c>
      <c r="E20" s="18" t="inlineStr">
        <is>
          <t>f6f6ae5add8ab3196e72c6184b97d1aebc53e7c7ba832342dedd9f77847781fb</t>
        </is>
      </c>
      <c r="F20" s="17" t="inlineStr">
        <is>
          <t>Estratégia e arquitetura</t>
        </is>
      </c>
      <c r="G20" s="17" t="inlineStr">
        <is>
          <t>5</t>
        </is>
      </c>
      <c r="H20" s="18" t="inlineStr">
        <is>
          <t>EV-9b7ecf34fe;EV-f1e60874a0;EV-45330ecda4;EV-a747d7ec01;EV-2dc7d3b260</t>
        </is>
      </c>
    </row>
    <row r="21">
      <c r="A21" s="17" t="inlineStr">
        <is>
          <t>DOC-C04-001</t>
        </is>
      </c>
      <c r="B21" s="17" t="inlineStr">
        <is>
          <t>C04</t>
        </is>
      </c>
      <c r="C21" s="17" t="inlineStr">
        <is>
          <t>Cronograma.md</t>
        </is>
      </c>
      <c r="D21" s="17" t="inlineStr">
        <is>
          <t>OPERACOES /Cronograma.md</t>
        </is>
      </c>
      <c r="E21" s="18" t="inlineStr">
        <is>
          <t>5f4d6034211858d37fad1c3c5bb2a96651ae6972b42ed103ffe16c27e8842730</t>
        </is>
      </c>
      <c r="F21" s="17" t="inlineStr">
        <is>
          <t>Plano e cronograma</t>
        </is>
      </c>
      <c r="G21" s="17" t="inlineStr">
        <is>
          <t>2</t>
        </is>
      </c>
      <c r="H21" s="17" t="inlineStr">
        <is>
          <t>EV-4388c440b5;EV-88ff43e7f4</t>
        </is>
      </c>
    </row>
    <row r="22">
      <c r="A22" s="17" t="inlineStr">
        <is>
          <t>DOC-C04-002</t>
        </is>
      </c>
      <c r="B22" s="17" t="inlineStr">
        <is>
          <t>C04</t>
        </is>
      </c>
      <c r="C22" s="17" t="inlineStr">
        <is>
          <t>handoffexecutar.txt</t>
        </is>
      </c>
      <c r="D22" s="17" t="inlineStr">
        <is>
          <t>OPERACOES /handoffexecutar.txt</t>
        </is>
      </c>
      <c r="E22" s="18" t="inlineStr">
        <is>
          <t>b1c6244ec5ec7c54c45efb9d9c89c17a36c2e0488d4a834a635997684a595c2a</t>
        </is>
      </c>
      <c r="F22" s="17" t="inlineStr">
        <is>
          <t>Handoff e brief</t>
        </is>
      </c>
      <c r="G22" s="17" t="inlineStr">
        <is>
          <t>12</t>
        </is>
      </c>
      <c r="H22" s="18" t="inlineStr">
        <is>
          <t>EV-38bafbf9a7;EV-a86662934e;EV-5858ae5fb6;EV-fb4986141a;EV-90e61f9516;EV-e59c8a6fce;EV-c95501bc83;EV-3759125879;EV-d573925ff2;EV-231428ed18;EV-e510ba9d9e;EV-5af3c091e5</t>
        </is>
      </c>
    </row>
    <row r="23">
      <c r="A23" s="17" t="inlineStr">
        <is>
          <t>DOC-C05-001</t>
        </is>
      </c>
      <c r="B23" s="17" t="inlineStr">
        <is>
          <t>C05</t>
        </is>
      </c>
      <c r="C23" s="17" t="inlineStr">
        <is>
          <t>Ecossistema .html</t>
        </is>
      </c>
      <c r="D23" s="17" t="inlineStr">
        <is>
          <t>OPERACOES /Ecossistema .html</t>
        </is>
      </c>
      <c r="E23" s="18" t="inlineStr">
        <is>
          <t>c49f7bcea3eac6c322b584d1bbae0ab018ae50404f0dbc2b418b25033d0dd253</t>
        </is>
      </c>
      <c r="F23" s="17" t="inlineStr">
        <is>
          <t>Estratégia e arquitetura</t>
        </is>
      </c>
      <c r="G23" s="17" t="inlineStr">
        <is>
          <t>116</t>
        </is>
      </c>
      <c r="H23" s="18" t="inlineStr">
        <is>
          <t>EV-250516ec85;EV-da0f0726d3;EV-1d3f4394a1;EV-0b4ad3178b;EV-fa58258692;EV-196c7ae12c;EV-14af80201c;EV-9ee0b05eb2;EV-cb15d7a220;EV-fec0506765;EV-c70275c9f9;EV-de3224b8bf;EV-d0ad9b5e2a;EV-efff68c9b2;EV-2ca564a394;EV-d70e1bd11c;EV-d0fa7a0807;EV-8ab799a010;EV-80b79b44e8;EV-92dc7c6e64</t>
        </is>
      </c>
    </row>
    <row r="24">
      <c r="A24" s="17" t="inlineStr">
        <is>
          <t>DOC-C06-001</t>
        </is>
      </c>
      <c r="B24" s="17" t="inlineStr">
        <is>
          <t>C06</t>
        </is>
      </c>
      <c r="C24" s="17" t="inlineStr">
        <is>
          <t>gtm-launch-report.html</t>
        </is>
      </c>
      <c r="D24" s="17" t="inlineStr">
        <is>
          <t>OPERACOES /gtm-launch-report.html</t>
        </is>
      </c>
      <c r="E24" s="18" t="inlineStr">
        <is>
          <t>da9e2bd6328d9eef7db23bfa27086380148780e179644302bcd2ae908a1c9fa7</t>
        </is>
      </c>
      <c r="F24" s="17" t="inlineStr">
        <is>
          <t>Relatório e painel</t>
        </is>
      </c>
      <c r="G24" s="17" t="inlineStr">
        <is>
          <t>17</t>
        </is>
      </c>
      <c r="H24" s="18" t="inlineStr">
        <is>
          <t>EV-979463fb2a;EV-d03309a5b5;EV-3536ce0711;EV-ac7a297f76;EV-2073856973;EV-0010842246;EV-3f54b23418;EV-c8cc18ef55;EV-13bd4aee96;EV-c28d5ae320;EV-080e75680a;EV-a569044d3a;EV-a7b2b7275e;EV-b26fb246a2;EV-d0b466d8e6;EV-22f1027de2;EV-7f3fee2188</t>
        </is>
      </c>
    </row>
    <row r="25">
      <c r="A25" s="17" t="inlineStr">
        <is>
          <t>DOC-C07-002</t>
        </is>
      </c>
      <c r="B25" s="17" t="inlineStr">
        <is>
          <t>C07</t>
        </is>
      </c>
      <c r="C25" s="17" t="inlineStr">
        <is>
          <t>MATRIZ_GESTAO_PROJETOS_X_TDAH_ONE_PAGE_PAISAGEM.html</t>
        </is>
      </c>
      <c r="D25" s="18" t="inlineStr">
        <is>
          <t>DADOS E EVIDENCIAS /MATRIZ_GESTAO_PROJETOS_X_TDAH_ONE_PAGE_PAISAGEM.html</t>
        </is>
      </c>
      <c r="E25" s="18" t="inlineStr">
        <is>
          <t>351a25806207ca6cc1ae5b6aaea7868f5c464949de3faa14517fd9c9656dd92c</t>
        </is>
      </c>
      <c r="F25" s="17" t="inlineStr">
        <is>
          <t>Evidência e pesquisa</t>
        </is>
      </c>
      <c r="G25" s="17" t="inlineStr">
        <is>
          <t>8</t>
        </is>
      </c>
      <c r="H25" s="18" t="inlineStr">
        <is>
          <t>EV-10862bbb8e;EV-78ee30f291;EV-249fbf131a;EV-7073f874fd;EV-ced0c464e7;EV-0a1f459ca2;EV-af6a17531b;EV-aba360284f</t>
        </is>
      </c>
    </row>
    <row r="26">
      <c r="A26" s="17" t="inlineStr">
        <is>
          <t>DOC-C07-003</t>
        </is>
      </c>
      <c r="B26" s="17" t="inlineStr">
        <is>
          <t>C07</t>
        </is>
      </c>
      <c r="C26" s="17" t="inlineStr">
        <is>
          <t>MATRIZ_GESTAO_PROJETOS_X_TDAH_EXTRAIDA.csv</t>
        </is>
      </c>
      <c r="D26" s="18" t="inlineStr">
        <is>
          <t>DADOS E EVIDENCIAS /MATRIZ_GESTAO_TDAH_PACOTE/MATRIZ_GESTAO_PROJETOS_X_TDAH_EXTRAIDA.csv</t>
        </is>
      </c>
      <c r="E26" s="18" t="inlineStr">
        <is>
          <t>673b29d38db687f118967269b4e302b2a8ef1c0405dafa6e91bbf2a946b2bb9c</t>
        </is>
      </c>
      <c r="F26" s="17" t="inlineStr">
        <is>
          <t>Evidência e pesquisa</t>
        </is>
      </c>
      <c r="G26" s="17" t="inlineStr">
        <is>
          <t>9</t>
        </is>
      </c>
      <c r="H26" s="18" t="inlineStr">
        <is>
          <t>EV-5f92fe6be1;EV-a0b2341696;EV-89c4702cf4;EV-e50299cb37;EV-6e53134824;EV-43daa92f20;EV-9001b91f63;EV-df1278a725;EV-c0787f2e62</t>
        </is>
      </c>
    </row>
    <row r="27">
      <c r="A27" s="17" t="inlineStr">
        <is>
          <t>DOC-C07-004</t>
        </is>
      </c>
      <c r="B27" s="17" t="inlineStr">
        <is>
          <t>C07</t>
        </is>
      </c>
      <c r="C27" s="17" t="inlineStr">
        <is>
          <t>MATRIZ_GESTAO_PROJETOS_X_TDAH_ONE_PAGE.xlsx</t>
        </is>
      </c>
      <c r="D27" s="18" t="inlineStr">
        <is>
          <t>DADOS E EVIDENCIAS /MATRIZ_GESTAO_TDAH_PACOTE/MATRIZ_GESTAO_PROJETOS_X_TDAH_ONE_PAGE.xlsx</t>
        </is>
      </c>
      <c r="E27" s="18" t="inlineStr">
        <is>
          <t>23da316fefcce43baf9aaf78e89fde56d8d672a4439fe25676fc5101d7551ee9</t>
        </is>
      </c>
      <c r="F27" s="17" t="inlineStr">
        <is>
          <t>Evidência e pesquisa</t>
        </is>
      </c>
      <c r="G27" s="17" t="inlineStr">
        <is>
          <t>2</t>
        </is>
      </c>
      <c r="H27" s="17" t="inlineStr">
        <is>
          <t>EV-7f770343a6;EV-0cebb16389</t>
        </is>
      </c>
    </row>
    <row r="28">
      <c r="A28" s="17" t="inlineStr">
        <is>
          <t>DOC-C07-005</t>
        </is>
      </c>
      <c r="B28" s="17" t="inlineStr">
        <is>
          <t>C07</t>
        </is>
      </c>
      <c r="C28" s="17" t="inlineStr">
        <is>
          <t>SCHEMA_MATRIZ_GESTAO_TDAH_V1.csv</t>
        </is>
      </c>
      <c r="D28" s="18" t="inlineStr">
        <is>
          <t>DADOS E EVIDENCIAS /MATRIZ_GESTAO_TDAH_PACOTE/SCHEMA_MATRIZ_GESTAO_TDAH_V1.csv</t>
        </is>
      </c>
      <c r="E28" s="18" t="inlineStr">
        <is>
          <t>ddcad0fab15742a2c220ff149c248fd5fc8c749e02dc64cddf2c0cf86b67f086</t>
        </is>
      </c>
      <c r="F28" s="17" t="inlineStr">
        <is>
          <t>Schema e contrato</t>
        </is>
      </c>
      <c r="G28" s="17" t="inlineStr">
        <is>
          <t>1</t>
        </is>
      </c>
      <c r="H28" s="17" t="inlineStr">
        <is>
          <t>EV-4b12f9be3c</t>
        </is>
      </c>
    </row>
    <row r="29">
      <c r="A29" s="17" t="inlineStr">
        <is>
          <t>DOC-C07-006</t>
        </is>
      </c>
      <c r="B29" s="17" t="inlineStr">
        <is>
          <t>C07</t>
        </is>
      </c>
      <c r="C29" s="17" t="inlineStr">
        <is>
          <t>SCHEMA_MATRIZ_GESTAO_TDAH_V1.yaml</t>
        </is>
      </c>
      <c r="D29" s="18" t="inlineStr">
        <is>
          <t>DADOS E EVIDENCIAS /MATRIZ_GESTAO_TDAH_PACOTE/SCHEMA_MATRIZ_GESTAO_TDAH_V1.yaml</t>
        </is>
      </c>
      <c r="E29" s="18" t="inlineStr">
        <is>
          <t>f67a8618855fdd6f3a7f98c91d73008f2f3a7d9ac5a6b474db201e7131b21a67</t>
        </is>
      </c>
      <c r="F29" s="17" t="inlineStr">
        <is>
          <t>Schema e contrato</t>
        </is>
      </c>
      <c r="G29" s="17" t="inlineStr">
        <is>
          <t>1</t>
        </is>
      </c>
      <c r="H29" s="17" t="inlineStr">
        <is>
          <t>EV-f9057c15b6</t>
        </is>
      </c>
    </row>
    <row r="30">
      <c r="A30" s="17" t="inlineStr">
        <is>
          <t>DOC-C07-007</t>
        </is>
      </c>
      <c r="B30" s="17" t="inlineStr">
        <is>
          <t>C07</t>
        </is>
      </c>
      <c r="C30" s="17" t="inlineStr">
        <is>
          <t>base_evidencias_tdah_adulto_WAREHOUSE.json</t>
        </is>
      </c>
      <c r="D30" s="18" t="inlineStr">
        <is>
          <t>DADOS E EVIDENCIAS /base_evidencias_tdah_adulto_WAREHOUSE.json</t>
        </is>
      </c>
      <c r="E30" s="18" t="inlineStr">
        <is>
          <t>b1aedb13dff7e58689ecd98e87b9f476396fc4b30f9c77cfd16fc62d616be33c</t>
        </is>
      </c>
      <c r="F30" s="17" t="inlineStr">
        <is>
          <t>Evidência e pesquisa</t>
        </is>
      </c>
      <c r="G30" s="17" t="inlineStr">
        <is>
          <t>34</t>
        </is>
      </c>
      <c r="H30" s="18" t="inlineStr">
        <is>
          <t>EV-8d2050fb5e;EV-4c1c55f994;EV-c792ffec35;EV-e780a534e8;EV-d99554820c;EV-974ffd01d2;EV-0a0039d60e;EV-7233490e0b;EV-ab353a2db6;EV-6671e65302;EV-68aeeb3ea3;EV-92a63464ce;EV-86ae19663e;EV-e9e55e049f;EV-0f30595ebe;EV-37796564cf;EV-092352dcac;EV-46ad69ab22;EV-f936de516a;EV-6185cc13e0</t>
        </is>
      </c>
    </row>
    <row r="31">
      <c r="A31" s="17" t="inlineStr">
        <is>
          <t>DOC-C07-009</t>
        </is>
      </c>
      <c r="B31" s="17" t="inlineStr">
        <is>
          <t>C07</t>
        </is>
      </c>
      <c r="C31" s="17" t="inlineStr">
        <is>
          <t>dashboard_sintese_tdah_694_V3_FINAL_LIGHT__REC-001102.html</t>
        </is>
      </c>
      <c r="D31" s="18" t="inlineStr">
        <is>
          <t>DADOS E EVIDENCIAS /dashboard_sintese_tdah_694_V3_FINAL_LIGHT__REC-001102.html</t>
        </is>
      </c>
      <c r="E31" s="18" t="inlineStr">
        <is>
          <t>c03c2fb217ddd13714a59dfa828ac26018429e68376c1d4d9b0f438c2f2005ee</t>
        </is>
      </c>
      <c r="F31" s="17" t="inlineStr">
        <is>
          <t>Evidência e pesquisa</t>
        </is>
      </c>
      <c r="G31" s="17" t="inlineStr">
        <is>
          <t>90</t>
        </is>
      </c>
      <c r="H31" s="18" t="inlineStr">
        <is>
          <t>EV-8a4ad69b20;EV-495a2f033b;EV-de94db3e25;EV-f04a701f8e;EV-a783716a71;EV-147350e17f;EV-69bae07eb4;EV-87801cbac4;EV-a7dc14799c;EV-72c143ec66;EV-3592d812ea;EV-67a3af8ecf;EV-e1db2e9480;EV-578a51b04f;EV-e71133e1d2;EV-f9c8a9941a;EV-f03dacaee5;EV-7963dd8841;EV-92b190f032;EV-21f82d1f24</t>
        </is>
      </c>
    </row>
    <row r="32">
      <c r="A32" s="17" t="inlineStr">
        <is>
          <t>DOC-C07-010</t>
        </is>
      </c>
      <c r="B32" s="17" t="inlineStr">
        <is>
          <t>C07</t>
        </is>
      </c>
      <c r="C32" s="17" t="inlineStr">
        <is>
          <t>✅ ADM-26-21-08.docx</t>
        </is>
      </c>
      <c r="D32" s="17" t="inlineStr">
        <is>
          <t>DADOS E EVIDENCIAS /✅ ADM-26-21-08.docx</t>
        </is>
      </c>
      <c r="E32" s="18" t="inlineStr">
        <is>
          <t>28b0c00a8242eb0a07db9607e85f37297a4e55e880f71683cc3a1e29a078df89</t>
        </is>
      </c>
      <c r="F32" s="17" t="inlineStr">
        <is>
          <t>Evidência e pesquisa</t>
        </is>
      </c>
      <c r="G32" s="17" t="inlineStr">
        <is>
          <t>4</t>
        </is>
      </c>
      <c r="H32" s="17" t="inlineStr">
        <is>
          <t>EV-7ed21435c5;EV-02ec681279;EV-91303e3caa;EV-ecc4ee9e47</t>
        </is>
      </c>
    </row>
    <row r="33">
      <c r="A33" s="17" t="inlineStr">
        <is>
          <t>DOC-C08-003</t>
        </is>
      </c>
      <c r="B33" s="17" t="inlineStr">
        <is>
          <t>C08</t>
        </is>
      </c>
      <c r="C33" s="17" t="inlineStr">
        <is>
          <t>01-MAPA-DE-DEPENDENCIAS.md</t>
        </is>
      </c>
      <c r="D33" s="18" t="inlineStr">
        <is>
          <t>PLANO EDITORIAL-PRODUTOS-SERVICOS/00-CENTRAL/01-MAPA-DE-DEPENDENCIAS.md</t>
        </is>
      </c>
      <c r="E33" s="18" t="inlineStr">
        <is>
          <t>61f553bb24e48265dd4ddc9208973033ca3b6bd1eb5ea43a8f6f154097b8713c</t>
        </is>
      </c>
      <c r="F33" s="17" t="inlineStr">
        <is>
          <t>Plano e cronograma</t>
        </is>
      </c>
      <c r="G33" s="17" t="inlineStr">
        <is>
          <t>4</t>
        </is>
      </c>
      <c r="H33" s="17" t="inlineStr">
        <is>
          <t>EV-33b2bb10a2;EV-77d4033b5f;EV-2180d1aaa1;EV-c3b1bddde0</t>
        </is>
      </c>
    </row>
    <row r="34">
      <c r="A34" s="17" t="inlineStr">
        <is>
          <t>DOC-C08-004</t>
        </is>
      </c>
      <c r="B34" s="17" t="inlineStr">
        <is>
          <t>C08</t>
        </is>
      </c>
      <c r="C34" s="17" t="inlineStr">
        <is>
          <t>02-REGISTRO-DE-CHAMADAS.md</t>
        </is>
      </c>
      <c r="D34" s="18" t="inlineStr">
        <is>
          <t>PLANO EDITORIAL-PRODUTOS-SERVICOS/00-CENTRAL/02-REGISTRO-DE-CHAMADAS.md</t>
        </is>
      </c>
      <c r="E34" s="18" t="inlineStr">
        <is>
          <t>088bdf2e44d83dccff946de4b0cf297028f8261c1c7f8b6b6c62f4864503eff9</t>
        </is>
      </c>
      <c r="F34" s="17" t="inlineStr">
        <is>
          <t>Controle e governança</t>
        </is>
      </c>
      <c r="G34" s="17" t="inlineStr">
        <is>
          <t>8</t>
        </is>
      </c>
      <c r="H34" s="18" t="inlineStr">
        <is>
          <t>EV-37bee4a3c4;EV-0218756df5;EV-73e3d9fca5;EV-7d46faf86b;EV-f2ca3f238e;EV-ddeb11ee5d;EV-6373037709;EV-4f3964859e</t>
        </is>
      </c>
    </row>
    <row r="35">
      <c r="A35" s="17" t="inlineStr">
        <is>
          <t>DOC-C08-006</t>
        </is>
      </c>
      <c r="B35" s="17" t="inlineStr">
        <is>
          <t>C08</t>
        </is>
      </c>
      <c r="C35" s="17" t="inlineStr">
        <is>
          <t>04-REGISTRO-DE-ROTAS.md</t>
        </is>
      </c>
      <c r="D35" s="18" t="inlineStr">
        <is>
          <t>PLANO EDITORIAL-PRODUTOS-SERVICOS/00-CENTRAL/04-REGISTRO-DE-ROTAS.md</t>
        </is>
      </c>
      <c r="E35" s="18" t="inlineStr">
        <is>
          <t>c0a1a923340a8026e2403940ae3d9be2660b9a3963f7bca67e5ed0845e25ccd9</t>
        </is>
      </c>
      <c r="F35" s="17" t="inlineStr">
        <is>
          <t>Controle e governança</t>
        </is>
      </c>
      <c r="G35" s="17" t="inlineStr">
        <is>
          <t>2</t>
        </is>
      </c>
      <c r="H35" s="17" t="inlineStr">
        <is>
          <t>EV-a5df1d8ba2;EV-dc539433d6</t>
        </is>
      </c>
    </row>
    <row r="36">
      <c r="A36" s="17" t="inlineStr">
        <is>
          <t>DOC-C08-007</t>
        </is>
      </c>
      <c r="B36" s="17" t="inlineStr">
        <is>
          <t>C08</t>
        </is>
      </c>
      <c r="C36" s="17" t="inlineStr">
        <is>
          <t>05-CRITERIOS-DE-LANCAMENTO.md</t>
        </is>
      </c>
      <c r="D36" s="18" t="inlineStr">
        <is>
          <t>PLANO EDITORIAL-PRODUTOS-SERVICOS/00-CENTRAL/05-CRITERIOS-DE-LANCAMENTO.md</t>
        </is>
      </c>
      <c r="E36" s="18" t="inlineStr">
        <is>
          <t>21a6199b2c01b79a9c8aa4b6b373149fb2527427efecadd3ee915a1948f99c18</t>
        </is>
      </c>
      <c r="F36" s="17" t="inlineStr">
        <is>
          <t>Plano e cronograma</t>
        </is>
      </c>
      <c r="G36" s="17" t="inlineStr">
        <is>
          <t>5</t>
        </is>
      </c>
      <c r="H36" s="18" t="inlineStr">
        <is>
          <t>EV-860b31dbd4;EV-d1a2a1a844;EV-c39ffa8d93;EV-dc28028810;EV-5db78f5a7e</t>
        </is>
      </c>
    </row>
    <row r="37">
      <c r="A37" s="17" t="inlineStr">
        <is>
          <t>DOC-C08-008</t>
        </is>
      </c>
      <c r="B37" s="17" t="inlineStr">
        <is>
          <t>C08</t>
        </is>
      </c>
      <c r="C37" s="17" t="inlineStr">
        <is>
          <t>06-SOMATORIO-DE-CAPACIDADE.md</t>
        </is>
      </c>
      <c r="D37" s="18" t="inlineStr">
        <is>
          <t>PLANO EDITORIAL-PRODUTOS-SERVICOS/00-CENTRAL/06-SOMATORIO-DE-CAPACIDADE.md</t>
        </is>
      </c>
      <c r="E37" s="18" t="inlineStr">
        <is>
          <t>dec523b178b59a63b828994a3b6c1846e89147ccabb05fa2d42058aa42b01d95</t>
        </is>
      </c>
      <c r="F37" s="17" t="inlineStr">
        <is>
          <t>Plano e cronograma</t>
        </is>
      </c>
      <c r="G37" s="17" t="inlineStr">
        <is>
          <t>7</t>
        </is>
      </c>
      <c r="H37" s="18" t="inlineStr">
        <is>
          <t>EV-b37890d107;EV-966baa4635;EV-ec49c868dc;EV-bf6e090a19;EV-97f0969576;EV-1dd8269abb;EV-98b18ed3ce</t>
        </is>
      </c>
    </row>
    <row r="38">
      <c r="A38" s="17" t="inlineStr">
        <is>
          <t>DOC-C08-011</t>
        </is>
      </c>
      <c r="B38" s="17" t="inlineStr">
        <is>
          <t>C08</t>
        </is>
      </c>
      <c r="C38" s="17" t="inlineStr">
        <is>
          <t>09-FILA-UNICA-DO-LANCAMENTO.md</t>
        </is>
      </c>
      <c r="D38" s="18" t="inlineStr">
        <is>
          <t>PLANO EDITORIAL-PRODUTOS-SERVICOS/00-CENTRAL/09-FILA-UNICA-DO-LANCAMENTO.md</t>
        </is>
      </c>
      <c r="E38" s="18" t="inlineStr">
        <is>
          <t>345f9f37cfe8d7634768b0ddf9f03de373d2d8354ed2d1d70cff59d612671e1f</t>
        </is>
      </c>
      <c r="F38" s="17" t="inlineStr">
        <is>
          <t>Controle e governança</t>
        </is>
      </c>
      <c r="G38" s="17" t="inlineStr">
        <is>
          <t>6</t>
        </is>
      </c>
      <c r="H38" s="18" t="inlineStr">
        <is>
          <t>EV-d2c5e2cdb1;EV-ceeb3f47e4;EV-407ec820ca;EV-5af3e37d61;EV-b96af98811;EV-7a969cea57</t>
        </is>
      </c>
    </row>
    <row r="39">
      <c r="A39" s="17" t="inlineStr">
        <is>
          <t>DOC-C09-004</t>
        </is>
      </c>
      <c r="B39" s="17" t="inlineStr">
        <is>
          <t>C09</t>
        </is>
      </c>
      <c r="C39" s="17" t="inlineStr">
        <is>
          <t>01-APLICATIVO-VISAO.md</t>
        </is>
      </c>
      <c r="D39" s="18" t="inlineStr">
        <is>
          <t>PLANO EDITORIAL-PRODUTOS-SERVICOS/01-OFERTAS/01-APLICATIVO/01-APLICATIVO-VISAO.md</t>
        </is>
      </c>
      <c r="E39" s="18" t="inlineStr">
        <is>
          <t>cd2b6592e4c7001ccc5bc789b6c423fecca8be5878915037b96151c8ba639cdb</t>
        </is>
      </c>
      <c r="F39" s="17" t="inlineStr">
        <is>
          <t>Plano e cronograma</t>
        </is>
      </c>
      <c r="G39" s="17" t="inlineStr">
        <is>
          <t>3</t>
        </is>
      </c>
      <c r="H39" s="17" t="inlineStr">
        <is>
          <t>EV-7915b60b07;EV-d2871aa446;EV-e8e053720b</t>
        </is>
      </c>
    </row>
    <row r="40">
      <c r="A40" s="17" t="inlineStr">
        <is>
          <t>DOC-C09-006</t>
        </is>
      </c>
      <c r="B40" s="17" t="inlineStr">
        <is>
          <t>C09</t>
        </is>
      </c>
      <c r="C40" s="17" t="inlineStr">
        <is>
          <t>02-SERVICOS-VISAO.md</t>
        </is>
      </c>
      <c r="D40" s="18" t="inlineStr">
        <is>
          <t>PLANO EDITORIAL-PRODUTOS-SERVICOS/01-OFERTAS/02-SERVICOS/02-SERVICOS-VISAO.md</t>
        </is>
      </c>
      <c r="E40" s="18" t="inlineStr">
        <is>
          <t>c2d9f381489aa59d4597302d6de4d6a040965b701f905da27729bf50e162356d</t>
        </is>
      </c>
      <c r="F40" s="17" t="inlineStr">
        <is>
          <t>Plano e cronograma</t>
        </is>
      </c>
      <c r="G40" s="17" t="inlineStr">
        <is>
          <t>13</t>
        </is>
      </c>
      <c r="H40" s="18" t="inlineStr">
        <is>
          <t>EV-88dd0fd57f;EV-91d8be5d6d;EV-60c5a05cef;EV-16f014f042;EV-e9510ae33c;EV-90685292ab;EV-b71017d8a6;EV-cb8ef196c8;EV-bf679e82c3;EV-7e6de412ca;EV-bb044b1679;EV-af44395105;EV-31c98998b7</t>
        </is>
      </c>
    </row>
    <row r="41">
      <c r="A41" s="17" t="inlineStr">
        <is>
          <t>DOC-C09-007</t>
        </is>
      </c>
      <c r="B41" s="17" t="inlineStr">
        <is>
          <t>C09</t>
        </is>
      </c>
      <c r="C41" s="17" t="inlineStr">
        <is>
          <t>00-MERGULHE-AQUI.md</t>
        </is>
      </c>
      <c r="D41" s="18" t="inlineStr">
        <is>
          <t>PLANO EDITORIAL-PRODUTOS-SERVICOS/01-OFERTAS/03-PRODUTOS-FISICOS/00-MERGULHE-AQUI.md</t>
        </is>
      </c>
      <c r="E41" s="18" t="inlineStr">
        <is>
          <t>dff43088000431eb5357652e34cba99d21a553dfb98e1321178c1a5dc2683842</t>
        </is>
      </c>
      <c r="F41" s="17" t="inlineStr">
        <is>
          <t>Orientação e README</t>
        </is>
      </c>
      <c r="G41" s="17" t="inlineStr">
        <is>
          <t>1</t>
        </is>
      </c>
      <c r="H41" s="17" t="inlineStr">
        <is>
          <t>EV-1e6fe637aa</t>
        </is>
      </c>
    </row>
    <row r="42">
      <c r="A42" s="17" t="inlineStr">
        <is>
          <t>DOC-C09-008</t>
        </is>
      </c>
      <c r="B42" s="17" t="inlineStr">
        <is>
          <t>C09</t>
        </is>
      </c>
      <c r="C42" s="17" t="inlineStr">
        <is>
          <t>03-PRODUTOS-VISAO.md</t>
        </is>
      </c>
      <c r="D42" s="18" t="inlineStr">
        <is>
          <t>PLANO EDITORIAL-PRODUTOS-SERVICOS/01-OFERTAS/03-PRODUTOS-FISICOS/03-PRODUTOS-VISAO.md</t>
        </is>
      </c>
      <c r="E42" s="18" t="inlineStr">
        <is>
          <t>819ac22416fb0ff89625ba23fd642b8667174ce3d6b851f4584a22705addd5fa</t>
        </is>
      </c>
      <c r="F42" s="17" t="inlineStr">
        <is>
          <t>Plano e cronograma</t>
        </is>
      </c>
      <c r="G42" s="17" t="inlineStr">
        <is>
          <t>22</t>
        </is>
      </c>
      <c r="H42" s="18" t="inlineStr">
        <is>
          <t>EV-0e4787b756;EV-8cb7da6bd3;EV-b601ee1910;EV-e995b6854b;EV-d0e19a895c;EV-6a1efb487a;EV-235df76593;EV-d8eb434626;EV-a324ebb9f5;EV-19433a42af;EV-063befbc33;EV-cc3264dd5e;EV-66e55bce66;EV-ad6937d17e;EV-5f30bfa8d8;EV-8fb6670716;EV-7d76ec486a;EV-83b709bd0b;EV-0149c993ce;EV-13b6cef14c</t>
        </is>
      </c>
    </row>
    <row r="43">
      <c r="A43" s="17" t="inlineStr">
        <is>
          <t>DOC-C09-009</t>
        </is>
      </c>
      <c r="B43" s="17" t="inlineStr">
        <is>
          <t>C09</t>
        </is>
      </c>
      <c r="C43" s="17" t="inlineStr">
        <is>
          <t>00-MERGULHE-AQUI.md</t>
        </is>
      </c>
      <c r="D43" s="18" t="inlineStr">
        <is>
          <t>PLANO EDITORIAL-PRODUTOS-SERVICOS/01-OFERTAS/04-INFOPRODUTOS/00-MERGULHE-AQUI.md</t>
        </is>
      </c>
      <c r="E43" s="18" t="inlineStr">
        <is>
          <t>88e03cefee016de1a105d0106a0ff59ff15fd6e0ed32e05fae7e66b29ec80bee</t>
        </is>
      </c>
      <c r="F43" s="17" t="inlineStr">
        <is>
          <t>Orientação e README</t>
        </is>
      </c>
      <c r="G43" s="17" t="inlineStr">
        <is>
          <t>1</t>
        </is>
      </c>
      <c r="H43" s="17" t="inlineStr">
        <is>
          <t>EV-b75959f76e</t>
        </is>
      </c>
    </row>
    <row r="44">
      <c r="A44" s="17" t="inlineStr">
        <is>
          <t>DOC-C09-010</t>
        </is>
      </c>
      <c r="B44" s="17" t="inlineStr">
        <is>
          <t>C09</t>
        </is>
      </c>
      <c r="C44" s="17" t="inlineStr">
        <is>
          <t>00-MERGULHE-AQUI.md</t>
        </is>
      </c>
      <c r="D44" s="18" t="inlineStr">
        <is>
          <t>PLANO EDITORIAL-PRODUTOS-SERVICOS/01-OFERTAS/04-INFOPRODUTOS/01-LIVROS-DIGITAIS/00-MERGULHE-AQUI.md</t>
        </is>
      </c>
      <c r="E44" s="18" t="inlineStr">
        <is>
          <t>0c3e8aea1e176188d29cdcba9aec1a52c7d4cb750e645951975bf7e683ceee18</t>
        </is>
      </c>
      <c r="F44" s="17" t="inlineStr">
        <is>
          <t>Orientação e README</t>
        </is>
      </c>
      <c r="G44" s="17" t="inlineStr">
        <is>
          <t>2</t>
        </is>
      </c>
      <c r="H44" s="17" t="inlineStr">
        <is>
          <t>EV-c365d4b1f7;EV-43f73d6d01</t>
        </is>
      </c>
    </row>
    <row r="45">
      <c r="A45" s="17" t="inlineStr">
        <is>
          <t>DOC-C09-011</t>
        </is>
      </c>
      <c r="B45" s="17" t="inlineStr">
        <is>
          <t>C09</t>
        </is>
      </c>
      <c r="C45" s="17" t="inlineStr">
        <is>
          <t>04-LIVROS-DIGITAIS-VISAO.md</t>
        </is>
      </c>
      <c r="D45" s="18" t="inlineStr">
        <is>
          <t>PLANO EDITORIAL-PRODUTOS-SERVICOS/01-OFERTAS/04-INFOPRODUTOS/01-LIVROS-DIGITAIS/04-LIVROS-DIGITAIS-VISAO.md</t>
        </is>
      </c>
      <c r="E45" s="18" t="inlineStr">
        <is>
          <t>eb44b7fe23b67a01821cb6acf6e574aefb85c7e9cee69c39b265141d66b00800</t>
        </is>
      </c>
      <c r="F45" s="17" t="inlineStr">
        <is>
          <t>Plano e cronograma</t>
        </is>
      </c>
      <c r="G45" s="17" t="inlineStr">
        <is>
          <t>15</t>
        </is>
      </c>
      <c r="H45" s="18" t="inlineStr">
        <is>
          <t>EV-cb558ef6e4;EV-727f4b9803;EV-2386ed4da1;EV-94760e96c3;EV-04098d8b0c;EV-17d7b111b8;EV-6058a98747;EV-1c47021e1e;EV-b147cc183b;EV-1a3bb70701;EV-4636c09c7c;EV-48360de35f;EV-bb7df5e355;EV-f3244c46d9;EV-4c17233582</t>
        </is>
      </c>
    </row>
    <row r="46">
      <c r="A46" s="17" t="inlineStr">
        <is>
          <t>DOC-C09-013</t>
        </is>
      </c>
      <c r="B46" s="17" t="inlineStr">
        <is>
          <t>C09</t>
        </is>
      </c>
      <c r="C46" s="17" t="inlineStr">
        <is>
          <t>04-CURSO-VISAO.md</t>
        </is>
      </c>
      <c r="D46" s="18" t="inlineStr">
        <is>
          <t>PLANO EDITORIAL-PRODUTOS-SERVICOS/01-OFERTAS/04-INFOPRODUTOS/02-CURSO/04-CURSO-VISAO.md</t>
        </is>
      </c>
      <c r="E46" s="18" t="inlineStr">
        <is>
          <t>07bc92cc2a6679613b3b209727ca22aeabf63cef0854e9e2a8a608d1ca6400f6</t>
        </is>
      </c>
      <c r="F46" s="17" t="inlineStr">
        <is>
          <t>Plano e cronograma</t>
        </is>
      </c>
      <c r="G46" s="17" t="inlineStr">
        <is>
          <t>11</t>
        </is>
      </c>
      <c r="H46" s="18" t="inlineStr">
        <is>
          <t>EV-3a69ea53f1;EV-3462bef0f8;EV-68e2e12b9a;EV-813e4bfc2d;EV-b0ad607b12;EV-c029c87342;EV-6f93641310;EV-853e2105c5;EV-b8045695c9;EV-ab51995a06;EV-c0794141d5</t>
        </is>
      </c>
    </row>
    <row r="47">
      <c r="A47" s="17" t="inlineStr">
        <is>
          <t>DOC-C09-015</t>
        </is>
      </c>
      <c r="B47" s="17" t="inlineStr">
        <is>
          <t>C09</t>
        </is>
      </c>
      <c r="C47" s="17" t="inlineStr">
        <is>
          <t>04-HOTMART-CADASTRO.md</t>
        </is>
      </c>
      <c r="D47" s="18" t="inlineStr">
        <is>
          <t>PLANO EDITORIAL-PRODUTOS-SERVICOS/01-OFERTAS/04-INFOPRODUTOS/03-HOTMART/04-HOTMART-CADASTRO.md</t>
        </is>
      </c>
      <c r="E47" s="18" t="inlineStr">
        <is>
          <t>f6e83ae7cb358d5e68d61f7baab27f598b5a41c2acde2b47a6b9f06cfc94d146</t>
        </is>
      </c>
      <c r="F47" s="17" t="inlineStr">
        <is>
          <t>Plano e cronograma</t>
        </is>
      </c>
      <c r="G47" s="17" t="inlineStr">
        <is>
          <t>6</t>
        </is>
      </c>
      <c r="H47" s="18" t="inlineStr">
        <is>
          <t>EV-b609e0bc2a;EV-cd54ff2072;EV-aea017eda4;EV-acf7027064;EV-234738cea9;EV-9c74079781</t>
        </is>
      </c>
    </row>
    <row r="48">
      <c r="A48" s="17" t="inlineStr">
        <is>
          <t>DOC-C09-016</t>
        </is>
      </c>
      <c r="B48" s="17" t="inlineStr">
        <is>
          <t>C09</t>
        </is>
      </c>
      <c r="C48" s="17" t="inlineStr">
        <is>
          <t>04-INFOPRODUTOS-VISAO.md</t>
        </is>
      </c>
      <c r="D48" s="18" t="inlineStr">
        <is>
          <t>PLANO EDITORIAL-PRODUTOS-SERVICOS/01-OFERTAS/04-INFOPRODUTOS/04-INFOPRODUTOS-VISAO.md</t>
        </is>
      </c>
      <c r="E48" s="18" t="inlineStr">
        <is>
          <t>61822f0155470b6cc91922a27725bdf9b0409d0cfc5beef605d95de7df363a9e</t>
        </is>
      </c>
      <c r="F48" s="17" t="inlineStr">
        <is>
          <t>Plano e cronograma</t>
        </is>
      </c>
      <c r="G48" s="17" t="inlineStr">
        <is>
          <t>11</t>
        </is>
      </c>
      <c r="H48" s="18" t="inlineStr">
        <is>
          <t>EV-aabd79dafb;EV-a3894ac595;EV-525bdb2540;EV-14f1cafeb4;EV-3cbabaa49a;EV-b17994725b;EV-f5933d26a7;EV-b21655ef0a;EV-fe9d511236;EV-d7c6895fe7;EV-6f77451405</t>
        </is>
      </c>
    </row>
    <row r="49">
      <c r="A49" s="17" t="inlineStr">
        <is>
          <t>DOC-C09-018</t>
        </is>
      </c>
      <c r="B49" s="17" t="inlineStr">
        <is>
          <t>C09</t>
        </is>
      </c>
      <c r="C49" s="17" t="inlineStr">
        <is>
          <t>05-AFILIADOS-VISAO.md</t>
        </is>
      </c>
      <c r="D49" s="18" t="inlineStr">
        <is>
          <t>PLANO EDITORIAL-PRODUTOS-SERVICOS/01-OFERTAS/05-AFILIADOS/05-AFILIADOS-VISAO.md</t>
        </is>
      </c>
      <c r="E49" s="18" t="inlineStr">
        <is>
          <t>db7c1bef9c4d29d4a2f72b0194de5c628d41040659b9f1f6ff31048289934369</t>
        </is>
      </c>
      <c r="F49" s="17" t="inlineStr">
        <is>
          <t>Plano e cronograma</t>
        </is>
      </c>
      <c r="G49" s="17" t="inlineStr">
        <is>
          <t>6</t>
        </is>
      </c>
      <c r="H49" s="18" t="inlineStr">
        <is>
          <t>EV-51c20f91e7;EV-57bcc28098;EV-1430d2ba9d;EV-a741298194;EV-bc90cfae22;EV-9c3ea7fdcc</t>
        </is>
      </c>
    </row>
    <row r="50">
      <c r="A50" s="17" t="inlineStr">
        <is>
          <t>DOC-C10-003</t>
        </is>
      </c>
      <c r="B50" s="17" t="inlineStr">
        <is>
          <t>C10</t>
        </is>
      </c>
      <c r="C50" s="17" t="inlineStr">
        <is>
          <t>01-ARQUITETURA-EDITORIAL.md</t>
        </is>
      </c>
      <c r="D50" s="18" t="inlineStr">
        <is>
          <t>PLANO EDITORIAL-PRODUTOS-SERVICOS/02-EDITORIAL/01-ARQUITETURA-EDITORIAL.md</t>
        </is>
      </c>
      <c r="E50" s="18" t="inlineStr">
        <is>
          <t>d4ecc849fe896189b221233a08f009576dbe10c1388ad145cc2b4f7513dba6c3</t>
        </is>
      </c>
      <c r="F50" s="17" t="inlineStr">
        <is>
          <t>Plano e cronograma</t>
        </is>
      </c>
      <c r="G50" s="17" t="inlineStr">
        <is>
          <t>2</t>
        </is>
      </c>
      <c r="H50" s="17" t="inlineStr">
        <is>
          <t>EV-02406974f9;EV-1b1bf631f2</t>
        </is>
      </c>
    </row>
    <row r="51">
      <c r="A51" s="17" t="inlineStr">
        <is>
          <t>DOC-C10-008</t>
        </is>
      </c>
      <c r="B51" s="17" t="inlineStr">
        <is>
          <t>C10</t>
        </is>
      </c>
      <c r="C51" s="17" t="inlineStr">
        <is>
          <t>04-CHAMADA-E-BRINDE.md</t>
        </is>
      </c>
      <c r="D51" s="18" t="inlineStr">
        <is>
          <t>PLANO EDITORIAL-PRODUTOS-SERVICOS/02-EDITORIAL/01-PECA-001/04-CHAMADA-E-BRINDE.md</t>
        </is>
      </c>
      <c r="E51" s="18" t="inlineStr">
        <is>
          <t>1299fddbf6a2512ccb678f6fe71ec554cb84da83717c9e3b78dd26edef449cb5</t>
        </is>
      </c>
      <c r="F51" s="17" t="inlineStr">
        <is>
          <t>Plano e cronograma</t>
        </is>
      </c>
      <c r="G51" s="17" t="inlineStr">
        <is>
          <t>1</t>
        </is>
      </c>
      <c r="H51" s="17" t="inlineStr">
        <is>
          <t>EV-45fe8f3a61</t>
        </is>
      </c>
    </row>
    <row r="52">
      <c r="A52" s="17" t="inlineStr">
        <is>
          <t>DOC-C10-010</t>
        </is>
      </c>
      <c r="B52" s="17" t="inlineStr">
        <is>
          <t>C10</t>
        </is>
      </c>
      <c r="C52" s="17" t="inlineStr">
        <is>
          <t>06-EVIDENCIA-DE-CONCLUSAO.md</t>
        </is>
      </c>
      <c r="D52" s="18" t="inlineStr">
        <is>
          <t>PLANO EDITORIAL-PRODUTOS-SERVICOS/02-EDITORIAL/01-PECA-001/06-EVIDENCIA-DE-CONCLUSAO.md</t>
        </is>
      </c>
      <c r="E52" s="18" t="inlineStr">
        <is>
          <t>f05c37f13e1c43615608706b9d0ec8bfcc2b6ae594a85a337da7081d98f1828f</t>
        </is>
      </c>
      <c r="F52" s="17" t="inlineStr">
        <is>
          <t>Plano e cronograma</t>
        </is>
      </c>
      <c r="G52" s="17" t="inlineStr">
        <is>
          <t>1</t>
        </is>
      </c>
      <c r="H52" s="17" t="inlineStr">
        <is>
          <t>EV-ce0961acc6</t>
        </is>
      </c>
    </row>
    <row r="53">
      <c r="A53" s="17" t="inlineStr">
        <is>
          <t>DOC-C10-011</t>
        </is>
      </c>
      <c r="B53" s="17" t="inlineStr">
        <is>
          <t>C10</t>
        </is>
      </c>
      <c r="C53" s="17" t="inlineStr">
        <is>
          <t>PECA-001-TDAH-GESTAO.md</t>
        </is>
      </c>
      <c r="D53" s="18" t="inlineStr">
        <is>
          <t>PLANO EDITORIAL-PRODUTOS-SERVICOS/02-EDITORIAL/01-PECA-001/PECA-001-TDAH-GESTAO.md</t>
        </is>
      </c>
      <c r="E53" s="18" t="inlineStr">
        <is>
          <t>ba8c7a1671840f9ecf68272e116a439a3c5ddd73e9d76da70f292909feba9ad1</t>
        </is>
      </c>
      <c r="F53" s="17" t="inlineStr">
        <is>
          <t>Plano e cronograma</t>
        </is>
      </c>
      <c r="G53" s="17" t="inlineStr">
        <is>
          <t>3</t>
        </is>
      </c>
      <c r="H53" s="17" t="inlineStr">
        <is>
          <t>EV-5b6360a71b;EV-3f55710594;EV-2f5d0fb2cb</t>
        </is>
      </c>
    </row>
    <row r="54">
      <c r="A54" s="17" t="inlineStr">
        <is>
          <t>DOC-C10-018</t>
        </is>
      </c>
      <c r="B54" s="17" t="inlineStr">
        <is>
          <t>C10</t>
        </is>
      </c>
      <c r="C54" s="17" t="inlineStr">
        <is>
          <t>06-EVIDENCIA-DE-CONCLUSAO.md</t>
        </is>
      </c>
      <c r="D54" s="18" t="inlineStr">
        <is>
          <t>PLANO EDITORIAL-PRODUTOS-SERVICOS/02-EDITORIAL/02-PECA-002/06-EVIDENCIA-DE-CONCLUSAO.md</t>
        </is>
      </c>
      <c r="E54" s="18" t="inlineStr">
        <is>
          <t>12395308e58fa588be25d751e64a2cad30ae9591eb49b49a7ad35ab76d6a4a7a</t>
        </is>
      </c>
      <c r="F54" s="17" t="inlineStr">
        <is>
          <t>Plano e cronograma</t>
        </is>
      </c>
      <c r="G54" s="17" t="inlineStr">
        <is>
          <t>1</t>
        </is>
      </c>
      <c r="H54" s="17" t="inlineStr">
        <is>
          <t>EV-062c444fbe</t>
        </is>
      </c>
    </row>
    <row r="55">
      <c r="A55" s="17" t="inlineStr">
        <is>
          <t>DOC-C10-019</t>
        </is>
      </c>
      <c r="B55" s="17" t="inlineStr">
        <is>
          <t>C10</t>
        </is>
      </c>
      <c r="C55" s="17" t="inlineStr">
        <is>
          <t>PECA-002-TDAH-GESTAO-DE-RISCOS.md</t>
        </is>
      </c>
      <c r="D55" s="18" t="inlineStr">
        <is>
          <t>PLANO EDITORIAL-PRODUTOS-SERVICOS/02-EDITORIAL/02-PECA-002/PECA-002-TDAH-GESTAO-DE-RISCOS.md</t>
        </is>
      </c>
      <c r="E55" s="18" t="inlineStr">
        <is>
          <t>2b9ca0b1c3212def92229643f3e1ee1d35a3fa85180a6297b0909c9295b52943</t>
        </is>
      </c>
      <c r="F55" s="17" t="inlineStr">
        <is>
          <t>Plano e cronograma</t>
        </is>
      </c>
      <c r="G55" s="17" t="inlineStr">
        <is>
          <t>2</t>
        </is>
      </c>
      <c r="H55" s="17" t="inlineStr">
        <is>
          <t>EV-37730bf8f6;EV-c2fa6c5212</t>
        </is>
      </c>
    </row>
    <row r="56">
      <c r="A56" s="17" t="inlineStr">
        <is>
          <t>DOC-C10-026</t>
        </is>
      </c>
      <c r="B56" s="17" t="inlineStr">
        <is>
          <t>C10</t>
        </is>
      </c>
      <c r="C56" s="17" t="inlineStr">
        <is>
          <t>06-EVIDENCIA-DE-CONCLUSAO.md</t>
        </is>
      </c>
      <c r="D56" s="18" t="inlineStr">
        <is>
          <t>PLANO EDITORIAL-PRODUTOS-SERVICOS/02-EDITORIAL/03-PECA-003/06-EVIDENCIA-DE-CONCLUSAO.md</t>
        </is>
      </c>
      <c r="E56" s="18" t="inlineStr">
        <is>
          <t>be7737eb79ce1034b5fd0747cd84ede40c0f6941c8fa8e50f16a06b7abf5c7b0</t>
        </is>
      </c>
      <c r="F56" s="17" t="inlineStr">
        <is>
          <t>Plano e cronograma</t>
        </is>
      </c>
      <c r="G56" s="17" t="inlineStr">
        <is>
          <t>1</t>
        </is>
      </c>
      <c r="H56" s="17" t="inlineStr">
        <is>
          <t>EV-adc544ff6f</t>
        </is>
      </c>
    </row>
    <row r="57">
      <c r="A57" s="17" t="inlineStr">
        <is>
          <t>DOC-C10-027</t>
        </is>
      </c>
      <c r="B57" s="17" t="inlineStr">
        <is>
          <t>C10</t>
        </is>
      </c>
      <c r="C57" s="17" t="inlineStr">
        <is>
          <t>PECA-003-FUNCOES-EXECUTIVAS.md</t>
        </is>
      </c>
      <c r="D57" s="18" t="inlineStr">
        <is>
          <t>PLANO EDITORIAL-PRODUTOS-SERVICOS/02-EDITORIAL/03-PECA-003/PECA-003-FUNCOES-EXECUTIVAS.md</t>
        </is>
      </c>
      <c r="E57" s="18" t="inlineStr">
        <is>
          <t>0f2cf0e311d2e7ac25f78eac829587dbef7fa02aa0579a1e4f50ef1e47ea38a5</t>
        </is>
      </c>
      <c r="F57" s="17" t="inlineStr">
        <is>
          <t>Plano e cronograma</t>
        </is>
      </c>
      <c r="G57" s="17" t="inlineStr">
        <is>
          <t>1</t>
        </is>
      </c>
      <c r="H57" s="17" t="inlineStr">
        <is>
          <t>EV-85b7b120cd</t>
        </is>
      </c>
    </row>
    <row r="58">
      <c r="A58" s="17" t="inlineStr">
        <is>
          <t>DOC-C10-029</t>
        </is>
      </c>
      <c r="B58" s="17" t="inlineStr">
        <is>
          <t>C10</t>
        </is>
      </c>
      <c r="C58" s="17" t="inlineStr">
        <is>
          <t>BRINDE-001-MATERIAL-CANONICO.md</t>
        </is>
      </c>
      <c r="D58" s="18" t="inlineStr">
        <is>
          <t>PLANO EDITORIAL-PRODUTOS-SERVICOS/02-EDITORIAL/04-BRINDE-CANONICO/BRINDE-001-MATERIAL-CANONICO.md</t>
        </is>
      </c>
      <c r="E58" s="18" t="inlineStr">
        <is>
          <t>e322d46a7dec1328efc171e19b0ecf9002aeb050061637fbcbe03a53147b6c6a</t>
        </is>
      </c>
      <c r="F58" s="17" t="inlineStr">
        <is>
          <t>Plano e cronograma</t>
        </is>
      </c>
      <c r="G58" s="17" t="inlineStr">
        <is>
          <t>2</t>
        </is>
      </c>
      <c r="H58" s="17" t="inlineStr">
        <is>
          <t>EV-8cc4e13706;EV-53b4f2da20</t>
        </is>
      </c>
    </row>
    <row r="59">
      <c r="A59" s="17" t="inlineStr">
        <is>
          <t>DOC-C11-004</t>
        </is>
      </c>
      <c r="B59" s="17" t="inlineStr">
        <is>
          <t>C11</t>
        </is>
      </c>
      <c r="C59" s="17" t="inlineStr">
        <is>
          <t>01-DEMONSTRACAO-APLICATIVO.md</t>
        </is>
      </c>
      <c r="D59" s="18" t="inlineStr">
        <is>
          <t>PLANO EDITORIAL-PRODUTOS-SERVICOS/03-DEMONSTRACOES/01-APLICATIVO/01-DEMONSTRACAO-APLICATIVO.md</t>
        </is>
      </c>
      <c r="E59" s="18" t="inlineStr">
        <is>
          <t>6ebde703038677848dbe5fc824c4255d4c719ac594b49e7a42a8e5929b00919e</t>
        </is>
      </c>
      <c r="F59" s="17" t="inlineStr">
        <is>
          <t>Plano e cronograma</t>
        </is>
      </c>
      <c r="G59" s="17" t="inlineStr">
        <is>
          <t>4</t>
        </is>
      </c>
      <c r="H59" s="17" t="inlineStr">
        <is>
          <t>EV-da3695efcf;EV-69783f0132;EV-074b79d436;EV-8fb6a96218</t>
        </is>
      </c>
    </row>
    <row r="60">
      <c r="A60" s="17" t="inlineStr">
        <is>
          <t>DOC-C11-006</t>
        </is>
      </c>
      <c r="B60" s="17" t="inlineStr">
        <is>
          <t>C11</t>
        </is>
      </c>
      <c r="C60" s="17" t="inlineStr">
        <is>
          <t>02-DEMO-AGENTE-007.md</t>
        </is>
      </c>
      <c r="D60" s="18" t="inlineStr">
        <is>
          <t>PLANO EDITORIAL-PRODUTOS-SERVICOS/03-DEMONSTRACOES/02-AGENTE-007/02-DEMO-AGENTE-007.md</t>
        </is>
      </c>
      <c r="E60" s="18" t="inlineStr">
        <is>
          <t>62de028fbd9ed284adc70151471006b7518f79d2ff4e0a3061854c4647e3747b</t>
        </is>
      </c>
      <c r="F60" s="17" t="inlineStr">
        <is>
          <t>Plano e cronograma</t>
        </is>
      </c>
      <c r="G60" s="17" t="inlineStr">
        <is>
          <t>3</t>
        </is>
      </c>
      <c r="H60" s="17" t="inlineStr">
        <is>
          <t>EV-019695f880;EV-03ba0567a3;EV-1ec4696947</t>
        </is>
      </c>
    </row>
    <row r="61">
      <c r="A61" s="17" t="inlineStr">
        <is>
          <t>DOC-C11-008</t>
        </is>
      </c>
      <c r="B61" s="17" t="inlineStr">
        <is>
          <t>C11</t>
        </is>
      </c>
      <c r="C61" s="17" t="inlineStr">
        <is>
          <t>03-DEMO-MAPA-OS.md</t>
        </is>
      </c>
      <c r="D61" s="18" t="inlineStr">
        <is>
          <t>PLANO EDITORIAL-PRODUTOS-SERVICOS/03-DEMONSTRACOES/03-MAPA-OS/03-DEMO-MAPA-OS.md</t>
        </is>
      </c>
      <c r="E61" s="18" t="inlineStr">
        <is>
          <t>f65a202ec2c0ea159d8b81bf42244db675101df146dbd591bd885785293e87c0</t>
        </is>
      </c>
      <c r="F61" s="17" t="inlineStr">
        <is>
          <t>Plano e cronograma</t>
        </is>
      </c>
      <c r="G61" s="17" t="inlineStr">
        <is>
          <t>3</t>
        </is>
      </c>
      <c r="H61" s="17" t="inlineStr">
        <is>
          <t>EV-fd84818fcf;EV-892b3117a0;EV-ab92d689e0</t>
        </is>
      </c>
    </row>
    <row r="62">
      <c r="A62" s="17" t="inlineStr">
        <is>
          <t>DOC-C11-010</t>
        </is>
      </c>
      <c r="B62" s="17" t="inlineStr">
        <is>
          <t>C11</t>
        </is>
      </c>
      <c r="C62" s="17" t="inlineStr">
        <is>
          <t>04-DEMONSTRACAO-ESTUDIO.md</t>
        </is>
      </c>
      <c r="D62" s="18" t="inlineStr">
        <is>
          <t>PLANO EDITORIAL-PRODUTOS-SERVICOS/03-DEMONSTRACOES/04-ESTUDIO/04-DEMONSTRACAO-ESTUDIO.md</t>
        </is>
      </c>
      <c r="E62" s="18" t="inlineStr">
        <is>
          <t>3dd9eeb9411861b6b9f8856daf52284550a73295ae053bc16621f78453d5cf0d</t>
        </is>
      </c>
      <c r="F62" s="17" t="inlineStr">
        <is>
          <t>Plano e cronograma</t>
        </is>
      </c>
      <c r="G62" s="17" t="inlineStr">
        <is>
          <t>5</t>
        </is>
      </c>
      <c r="H62" s="18" t="inlineStr">
        <is>
          <t>EV-4cb3eb5285;EV-b504e2abae;EV-57984358a4;EV-a2cdbcfeaf;EV-987e669bd8</t>
        </is>
      </c>
    </row>
    <row r="63">
      <c r="A63" s="17" t="inlineStr">
        <is>
          <t>DOC-C12-003</t>
        </is>
      </c>
      <c r="B63" s="17" t="inlineStr">
        <is>
          <t>C12</t>
        </is>
      </c>
      <c r="C63" s="17" t="inlineStr">
        <is>
          <t>FORM-001-ESTUDIO.md</t>
        </is>
      </c>
      <c r="D63" s="18" t="inlineStr">
        <is>
          <t>PLANO EDITORIAL-PRODUTOS-SERVICOS/04-PAGINAS-E-FORMULARIOS/FORM-001-ESTUDIO.md</t>
        </is>
      </c>
      <c r="E63" s="18" t="inlineStr">
        <is>
          <t>38b1da36e2c379d2e70580e4076f43ae04a186668d8b85ae52a4f45fd482d640</t>
        </is>
      </c>
      <c r="F63" s="17" t="inlineStr">
        <is>
          <t>Plano e cronograma</t>
        </is>
      </c>
      <c r="G63" s="17" t="inlineStr">
        <is>
          <t>5</t>
        </is>
      </c>
      <c r="H63" s="18" t="inlineStr">
        <is>
          <t>EV-8c6359a9c2;EV-02a6d5f9b4;EV-d5bbf13997;EV-1e85c9a7c3;EV-29c0b78433</t>
        </is>
      </c>
    </row>
    <row r="64">
      <c r="A64" s="17" t="inlineStr">
        <is>
          <t>DOC-C12-004</t>
        </is>
      </c>
      <c r="B64" s="17" t="inlineStr">
        <is>
          <t>C12</t>
        </is>
      </c>
      <c r="C64" s="17" t="inlineStr">
        <is>
          <t>FORM-002-CAPTACAO.md</t>
        </is>
      </c>
      <c r="D64" s="18" t="inlineStr">
        <is>
          <t>PLANO EDITORIAL-PRODUTOS-SERVICOS/04-PAGINAS-E-FORMULARIOS/FORM-002-CAPTACAO.md</t>
        </is>
      </c>
      <c r="E64" s="18" t="inlineStr">
        <is>
          <t>7e1c03648894012428a3dd370a5cdeba4827230bea0fde5ad23a28d8d6b6d0ca</t>
        </is>
      </c>
      <c r="F64" s="17" t="inlineStr">
        <is>
          <t>Plano e cronograma</t>
        </is>
      </c>
      <c r="G64" s="17" t="inlineStr">
        <is>
          <t>2</t>
        </is>
      </c>
      <c r="H64" s="17" t="inlineStr">
        <is>
          <t>EV-2d5ab1dac0;EV-d63f04a27f</t>
        </is>
      </c>
    </row>
    <row r="65">
      <c r="A65" s="17" t="inlineStr">
        <is>
          <t>DOC-C12-005</t>
        </is>
      </c>
      <c r="B65" s="17" t="inlineStr">
        <is>
          <t>C12</t>
        </is>
      </c>
      <c r="C65" s="17" t="inlineStr">
        <is>
          <t>PAG-001-INICIAL.md</t>
        </is>
      </c>
      <c r="D65" s="18" t="inlineStr">
        <is>
          <t>PLANO EDITORIAL-PRODUTOS-SERVICOS/04-PAGINAS-E-FORMULARIOS/PAG-001-INICIAL.md</t>
        </is>
      </c>
      <c r="E65" s="18" t="inlineStr">
        <is>
          <t>0c0996a9ca1463859b4bcf905721abff8e7dc6d18d9d7ffd7d6588abaf4489f6</t>
        </is>
      </c>
      <c r="F65" s="17" t="inlineStr">
        <is>
          <t>Plano e cronograma</t>
        </is>
      </c>
      <c r="G65" s="17" t="inlineStr">
        <is>
          <t>1</t>
        </is>
      </c>
      <c r="H65" s="17" t="inlineStr">
        <is>
          <t>EV-8b01db0a58</t>
        </is>
      </c>
    </row>
    <row r="66">
      <c r="A66" s="17" t="inlineStr">
        <is>
          <t>DOC-C12-006</t>
        </is>
      </c>
      <c r="B66" s="17" t="inlineStr">
        <is>
          <t>C12</t>
        </is>
      </c>
      <c r="C66" s="17" t="inlineStr">
        <is>
          <t>PAG-002-SERVICOS.md</t>
        </is>
      </c>
      <c r="D66" s="18" t="inlineStr">
        <is>
          <t>PLANO EDITORIAL-PRODUTOS-SERVICOS/04-PAGINAS-E-FORMULARIOS/PAG-002-SERVICOS.md</t>
        </is>
      </c>
      <c r="E66" s="18" t="inlineStr">
        <is>
          <t>3a235c93e42e843e7f8ca2516ae9db3659ad9afbdcbb5ae43385e5e23d795699</t>
        </is>
      </c>
      <c r="F66" s="17" t="inlineStr">
        <is>
          <t>Plano e cronograma</t>
        </is>
      </c>
      <c r="G66" s="17" t="inlineStr">
        <is>
          <t>4</t>
        </is>
      </c>
      <c r="H66" s="17" t="inlineStr">
        <is>
          <t>EV-c66fae360e;EV-8e9876e0e5;EV-302dc04f3d;EV-412bf8176f</t>
        </is>
      </c>
    </row>
    <row r="67">
      <c r="A67" s="17" t="inlineStr">
        <is>
          <t>DOC-C12-007</t>
        </is>
      </c>
      <c r="B67" s="17" t="inlineStr">
        <is>
          <t>C12</t>
        </is>
      </c>
      <c r="C67" s="17" t="inlineStr">
        <is>
          <t>PAG-003-ESTUDIO.md</t>
        </is>
      </c>
      <c r="D67" s="18" t="inlineStr">
        <is>
          <t>PLANO EDITORIAL-PRODUTOS-SERVICOS/04-PAGINAS-E-FORMULARIOS/PAG-003-ESTUDIO.md</t>
        </is>
      </c>
      <c r="E67" s="18" t="inlineStr">
        <is>
          <t>de464ab9768330efaec5f609c46a8d4c0d799a911c5c04cdcd7c5bb0e52b7326</t>
        </is>
      </c>
      <c r="F67" s="17" t="inlineStr">
        <is>
          <t>Plano e cronograma</t>
        </is>
      </c>
      <c r="G67" s="17" t="inlineStr">
        <is>
          <t>3</t>
        </is>
      </c>
      <c r="H67" s="17" t="inlineStr">
        <is>
          <t>EV-62175cb4c1;EV-f662165e11;EV-92e37274c7</t>
        </is>
      </c>
    </row>
    <row r="68">
      <c r="A68" s="17" t="inlineStr">
        <is>
          <t>DOC-C12-008</t>
        </is>
      </c>
      <c r="B68" s="17" t="inlineStr">
        <is>
          <t>C12</t>
        </is>
      </c>
      <c r="C68" s="17" t="inlineStr">
        <is>
          <t>PAG-004-LOJA.md</t>
        </is>
      </c>
      <c r="D68" s="18" t="inlineStr">
        <is>
          <t>PLANO EDITORIAL-PRODUTOS-SERVICOS/04-PAGINAS-E-FORMULARIOS/PAG-004-LOJA.md</t>
        </is>
      </c>
      <c r="E68" s="18" t="inlineStr">
        <is>
          <t>9ddb906d28cdf312204d67f5ff671008d09675d60ae235b5ed7c1d124227a186</t>
        </is>
      </c>
      <c r="F68" s="17" t="inlineStr">
        <is>
          <t>Plano e cronograma</t>
        </is>
      </c>
      <c r="G68" s="17" t="inlineStr">
        <is>
          <t>5</t>
        </is>
      </c>
      <c r="H68" s="18" t="inlineStr">
        <is>
          <t>EV-1f17a5356c;EV-4ec3ca9437;EV-e3e1c79777;EV-534b629c84;EV-b84aed7f2b</t>
        </is>
      </c>
    </row>
    <row r="69">
      <c r="A69" s="17" t="inlineStr">
        <is>
          <t>DOC-C12-009</t>
        </is>
      </c>
      <c r="B69" s="17" t="inlineStr">
        <is>
          <t>C12</t>
        </is>
      </c>
      <c r="C69" s="17" t="inlineStr">
        <is>
          <t>PAG-005-BIBLIOTECA.md</t>
        </is>
      </c>
      <c r="D69" s="18" t="inlineStr">
        <is>
          <t>PLANO EDITORIAL-PRODUTOS-SERVICOS/04-PAGINAS-E-FORMULARIOS/PAG-005-BIBLIOTECA.md</t>
        </is>
      </c>
      <c r="E69" s="18" t="inlineStr">
        <is>
          <t>d566cc6294010360edd14f52c266e1b9cb7504d02f5d48867785cccb74f83140</t>
        </is>
      </c>
      <c r="F69" s="17" t="inlineStr">
        <is>
          <t>Plano e cronograma</t>
        </is>
      </c>
      <c r="G69" s="17" t="inlineStr">
        <is>
          <t>2</t>
        </is>
      </c>
      <c r="H69" s="17" t="inlineStr">
        <is>
          <t>EV-86a87add31;EV-7783f3b2da</t>
        </is>
      </c>
    </row>
    <row r="70">
      <c r="A70" s="17" t="inlineStr">
        <is>
          <t>DOC-C13-004</t>
        </is>
      </c>
      <c r="B70" s="17" t="inlineStr">
        <is>
          <t>C13</t>
        </is>
      </c>
      <c r="C70" s="17" t="inlineStr">
        <is>
          <t>REFERENCIAS-VISUAIS.md</t>
        </is>
      </c>
      <c r="D70" s="18" t="inlineStr">
        <is>
          <t>PLANO EDITORIAL-PRODUTOS-SERVICOS/05-MATERIAIS/01-REFERENCIAS-VISUAIS/REFERENCIAS-VISUAIS.md</t>
        </is>
      </c>
      <c r="E70" s="18" t="inlineStr">
        <is>
          <t>f8c7f91830ef12375eac13939d7e3b868cef7777c42e302c3100c117fede4301</t>
        </is>
      </c>
      <c r="F70" s="17" t="inlineStr">
        <is>
          <t>Plano e cronograma</t>
        </is>
      </c>
      <c r="G70" s="17" t="inlineStr">
        <is>
          <t>5</t>
        </is>
      </c>
      <c r="H70" s="18" t="inlineStr">
        <is>
          <t>EV-192bc1f87a;EV-e7dc2b5d47;EV-64fe2df820;EV-2fbc0919e8;EV-9de547fe52</t>
        </is>
      </c>
    </row>
    <row r="71">
      <c r="A71" s="17" t="inlineStr">
        <is>
          <t>DOC-C13-005</t>
        </is>
      </c>
      <c r="B71" s="17" t="inlineStr">
        <is>
          <t>C13</t>
        </is>
      </c>
      <c r="C71" s="17" t="inlineStr">
        <is>
          <t>referencia-biblioteca-livros-digitais.jpeg</t>
        </is>
      </c>
      <c r="D71" s="18" t="inlineStr">
        <is>
          <t>PLANO EDITORIAL-PRODUTOS-SERVICOS/05-MATERIAIS/01-REFERENCIAS-VISUAIS/referencia-biblioteca-livros-digitais.jpeg</t>
        </is>
      </c>
      <c r="E71" s="18" t="inlineStr">
        <is>
          <t>dcb458f8ef1f8312b86385ec0755a8a45d7772967e2c76f410c3c7d5d8aa6851</t>
        </is>
      </c>
      <c r="F71" s="17" t="inlineStr">
        <is>
          <t>Referência visual e design</t>
        </is>
      </c>
      <c r="G71" s="17" t="inlineStr">
        <is>
          <t>6</t>
        </is>
      </c>
      <c r="H71" s="18" t="inlineStr">
        <is>
          <t>EV-8c87136154;EV-edd173c044;EV-427fc67b07;EV-39591f5760;EV-99a5391d0d;EV-386c0dc229</t>
        </is>
      </c>
    </row>
    <row r="72">
      <c r="A72" s="17" t="inlineStr">
        <is>
          <t>DOC-C13-006</t>
        </is>
      </c>
      <c r="B72" s="17" t="inlineStr">
        <is>
          <t>C13</t>
        </is>
      </c>
      <c r="C72" s="17" t="inlineStr">
        <is>
          <t>referencia-livro-digital-aplicando-tdah.jpeg</t>
        </is>
      </c>
      <c r="D72" s="18" t="inlineStr">
        <is>
          <t>PLANO EDITORIAL-PRODUTOS-SERVICOS/05-MATERIAIS/01-REFERENCIAS-VISUAIS/referencia-livro-digital-aplicando-tdah.jpeg</t>
        </is>
      </c>
      <c r="E72" s="18" t="inlineStr">
        <is>
          <t>cb87d980e5ffafcd7c32692f23f63ccecc5ec008ca229c0b8dec2026df260519</t>
        </is>
      </c>
      <c r="F72" s="17" t="inlineStr">
        <is>
          <t>Referência visual e design</t>
        </is>
      </c>
      <c r="G72" s="17" t="inlineStr">
        <is>
          <t>1</t>
        </is>
      </c>
      <c r="H72" s="17" t="inlineStr">
        <is>
          <t>EV-20959f0233</t>
        </is>
      </c>
    </row>
    <row r="73">
      <c r="A73" s="17" t="inlineStr">
        <is>
          <t>DOC-C13-007</t>
        </is>
      </c>
      <c r="B73" s="17" t="inlineStr">
        <is>
          <t>C13</t>
        </is>
      </c>
      <c r="C73" s="17" t="inlineStr">
        <is>
          <t>referencia-livro-digital-gerenciando-tdah.jpeg</t>
        </is>
      </c>
      <c r="D73" s="18" t="inlineStr">
        <is>
          <t>PLANO EDITORIAL-PRODUTOS-SERVICOS/05-MATERIAIS/01-REFERENCIAS-VISUAIS/referencia-livro-digital-gerenciando-tdah.jpeg</t>
        </is>
      </c>
      <c r="E73" s="18" t="inlineStr">
        <is>
          <t>5e4f97e3c95e9d6f5de6c75158de15091e612883f266f0ac87de16e605350d74</t>
        </is>
      </c>
      <c r="F73" s="17" t="inlineStr">
        <is>
          <t>Referência visual e design</t>
        </is>
      </c>
      <c r="G73" s="17" t="inlineStr">
        <is>
          <t>1</t>
        </is>
      </c>
      <c r="H73" s="17" t="inlineStr">
        <is>
          <t>EV-c1db471609</t>
        </is>
      </c>
    </row>
    <row r="74">
      <c r="A74" s="17" t="inlineStr">
        <is>
          <t>DOC-C13-008</t>
        </is>
      </c>
      <c r="B74" s="17" t="inlineStr">
        <is>
          <t>C13</t>
        </is>
      </c>
      <c r="C74" s="17" t="inlineStr">
        <is>
          <t>referencia-office-kit.jpeg</t>
        </is>
      </c>
      <c r="D74" s="18" t="inlineStr">
        <is>
          <t>PLANO EDITORIAL-PRODUTOS-SERVICOS/05-MATERIAIS/01-REFERENCIAS-VISUAIS/referencia-office-kit.jpeg</t>
        </is>
      </c>
      <c r="E74" s="18" t="inlineStr">
        <is>
          <t>6a637e7cbfc90dad00a56b36c27b805c99748a5f964ca76c6a6803d0656cc9f8</t>
        </is>
      </c>
      <c r="F74" s="17" t="inlineStr">
        <is>
          <t>Referência visual e design</t>
        </is>
      </c>
      <c r="G74" s="17" t="inlineStr">
        <is>
          <t>6</t>
        </is>
      </c>
      <c r="H74" s="18" t="inlineStr">
        <is>
          <t>EV-a8d208dd99;EV-4a3f987690;EV-e38a8e3c9a;EV-24313ad312;EV-da3ee1560f;EV-105ab818b0</t>
        </is>
      </c>
    </row>
    <row r="75">
      <c r="A75" s="17" t="inlineStr">
        <is>
          <t>DOC-C13-009</t>
        </is>
      </c>
      <c r="B75" s="17" t="inlineStr">
        <is>
          <t>C13</t>
        </is>
      </c>
      <c r="C75" s="17" t="inlineStr">
        <is>
          <t>referencia-organizacao-fisica.jpeg</t>
        </is>
      </c>
      <c r="D75" s="18" t="inlineStr">
        <is>
          <t>PLANO EDITORIAL-PRODUTOS-SERVICOS/05-MATERIAIS/01-REFERENCIAS-VISUAIS/referencia-organizacao-fisica.jpeg</t>
        </is>
      </c>
      <c r="E75" s="18" t="inlineStr">
        <is>
          <t>9d8aad1055c1ce71e419c7308dcbf99bf22f8fedcb3731bd59aea96f6f93d5d1</t>
        </is>
      </c>
      <c r="F75" s="17" t="inlineStr">
        <is>
          <t>Referência visual e design</t>
        </is>
      </c>
      <c r="G75" s="17" t="inlineStr">
        <is>
          <t>3</t>
        </is>
      </c>
      <c r="H75" s="17" t="inlineStr">
        <is>
          <t>EV-92ff460aa0;EV-a148508a6a;EV-beaedc7e14</t>
        </is>
      </c>
    </row>
    <row r="76">
      <c r="A76" s="17" t="inlineStr">
        <is>
          <t>DOC-C13-010</t>
        </is>
      </c>
      <c r="B76" s="17" t="inlineStr">
        <is>
          <t>C13</t>
        </is>
      </c>
      <c r="C76" s="17" t="inlineStr">
        <is>
          <t>referencia-timer-45.jpeg</t>
        </is>
      </c>
      <c r="D76" s="18" t="inlineStr">
        <is>
          <t>PLANO EDITORIAL-PRODUTOS-SERVICOS/05-MATERIAIS/01-REFERENCIAS-VISUAIS/referencia-timer-45.jpeg</t>
        </is>
      </c>
      <c r="E76" s="18" t="inlineStr">
        <is>
          <t>1a061b1a0d2d6488bab249d43d03edde042fbbde1199ca7729cfb738a3d74668</t>
        </is>
      </c>
      <c r="F76" s="17" t="inlineStr">
        <is>
          <t>Referência visual e design</t>
        </is>
      </c>
      <c r="G76" s="17" t="inlineStr">
        <is>
          <t>5</t>
        </is>
      </c>
      <c r="H76" s="18" t="inlineStr">
        <is>
          <t>EV-37fa680322;EV-e5e7460f33;EV-966604aa61;EV-07930bed83;EV-2214b5f1aa</t>
        </is>
      </c>
    </row>
    <row r="77">
      <c r="A77" s="17" t="inlineStr">
        <is>
          <t>DOC-C14-004</t>
        </is>
      </c>
      <c r="B77" s="17" t="inlineStr">
        <is>
          <t>C14</t>
        </is>
      </c>
      <c r="C77" s="17" t="inlineStr">
        <is>
          <t>PUB-002-YOUTUBE.md</t>
        </is>
      </c>
      <c r="D77" s="18" t="inlineStr">
        <is>
          <t>PLANO EDITORIAL-PRODUTOS-SERVICOS/06-PUBLICACAO-E-AGENDA/PUB-002-YOUTUBE.md</t>
        </is>
      </c>
      <c r="E77" s="18" t="inlineStr">
        <is>
          <t>04827ae65cee60c76d1a9f3061cc77039b195e5e7aa14aad121b5a0d1da4513c</t>
        </is>
      </c>
      <c r="F77" s="17" t="inlineStr">
        <is>
          <t>Plano e cronograma</t>
        </is>
      </c>
      <c r="G77" s="17" t="inlineStr">
        <is>
          <t>8</t>
        </is>
      </c>
      <c r="H77" s="18" t="inlineStr">
        <is>
          <t>EV-856012c150;EV-6ddba3bf15;EV-855c4a6fc4;EV-b73d45551f;EV-a24f49ec74;EV-3a6066d974;EV-b483ee0b09;EV-c48b187cc9</t>
        </is>
      </c>
    </row>
    <row r="78">
      <c r="A78" s="17" t="inlineStr">
        <is>
          <t>DOC-C14-005</t>
        </is>
      </c>
      <c r="B78" s="17" t="inlineStr">
        <is>
          <t>C14</t>
        </is>
      </c>
      <c r="C78" s="17" t="inlineStr">
        <is>
          <t>PUB-003-INSTAGRAM-TIKTOK.md</t>
        </is>
      </c>
      <c r="D78" s="18" t="inlineStr">
        <is>
          <t>PLANO EDITORIAL-PRODUTOS-SERVICOS/06-PUBLICACAO-E-AGENDA/PUB-003-INSTAGRAM-TIKTOK.md</t>
        </is>
      </c>
      <c r="E78" s="18" t="inlineStr">
        <is>
          <t>76af69c8769033db197bc29dc64c5f9ac6faa018838cd36a40dd203784065443</t>
        </is>
      </c>
      <c r="F78" s="17" t="inlineStr">
        <is>
          <t>Plano e cronograma</t>
        </is>
      </c>
      <c r="G78" s="17" t="inlineStr">
        <is>
          <t>8</t>
        </is>
      </c>
      <c r="H78" s="18" t="inlineStr">
        <is>
          <t>EV-870f64f5a7;EV-a052c699cd;EV-91e2d884bb;EV-60edf34f19;EV-30bdc3bf0f;EV-a26a349c1c;EV-c51337adf0;EV-702e9eb709</t>
        </is>
      </c>
    </row>
    <row r="79">
      <c r="A79" s="17" t="inlineStr">
        <is>
          <t>DOC-C14-006</t>
        </is>
      </c>
      <c r="B79" s="17" t="inlineStr">
        <is>
          <t>C14</t>
        </is>
      </c>
      <c r="C79" s="17" t="inlineStr">
        <is>
          <t>PUB-004-LINKEDIN.md</t>
        </is>
      </c>
      <c r="D79" s="18" t="inlineStr">
        <is>
          <t>PLANO EDITORIAL-PRODUTOS-SERVICOS/06-PUBLICACAO-E-AGENDA/PUB-004-LINKEDIN.md</t>
        </is>
      </c>
      <c r="E79" s="18" t="inlineStr">
        <is>
          <t>94dec7535c1f09ca96e3a2fab02dc29e3350781d23e7c535c4c53f53fbbd84bc</t>
        </is>
      </c>
      <c r="F79" s="17" t="inlineStr">
        <is>
          <t>Plano e cronograma</t>
        </is>
      </c>
      <c r="G79" s="17" t="inlineStr">
        <is>
          <t>8</t>
        </is>
      </c>
      <c r="H79" s="18" t="inlineStr">
        <is>
          <t>EV-d3b3cca6c2;EV-e6d0a2ccbc;EV-57812ab7ba;EV-381e763690;EV-ca6635812a;EV-d56f239201;EV-40765b466f;EV-5b646a472e</t>
        </is>
      </c>
    </row>
    <row r="80">
      <c r="A80" s="17" t="inlineStr">
        <is>
          <t>DOC-C14-007</t>
        </is>
      </c>
      <c r="B80" s="17" t="inlineStr">
        <is>
          <t>C14</t>
        </is>
      </c>
      <c r="C80" s="17" t="inlineStr">
        <is>
          <t>PUB-005-AGENDA-MESTRA.md</t>
        </is>
      </c>
      <c r="D80" s="18" t="inlineStr">
        <is>
          <t>PLANO EDITORIAL-PRODUTOS-SERVICOS/06-PUBLICACAO-E-AGENDA/PUB-005-AGENDA-MESTRA.md</t>
        </is>
      </c>
      <c r="E80" s="18" t="inlineStr">
        <is>
          <t>d170bcdfbefceee0312fd65c89bf201988ea41a74f6fac0715473543b9bbb5db</t>
        </is>
      </c>
      <c r="F80" s="17" t="inlineStr">
        <is>
          <t>Plano e cronograma</t>
        </is>
      </c>
      <c r="G80" s="17" t="inlineStr">
        <is>
          <t>4</t>
        </is>
      </c>
      <c r="H80" s="17" t="inlineStr">
        <is>
          <t>EV-c767121944;EV-3a7747f3cd;EV-1bc00bc49b;EV-0c8313a3f8</t>
        </is>
      </c>
    </row>
    <row r="81">
      <c r="A81" s="17" t="inlineStr">
        <is>
          <t>DOC-C15-006</t>
        </is>
      </c>
      <c r="B81" s="17" t="inlineStr">
        <is>
          <t>C15</t>
        </is>
      </c>
      <c r="C81" s="17" t="inlineStr">
        <is>
          <t>D03-27-08-OFERTAS-E-CADASTROS.md</t>
        </is>
      </c>
      <c r="D81" s="18" t="inlineStr">
        <is>
          <t>PLANO EDITORIAL-PRODUTOS-SERVICOS/07-CALENDARIO/01-SEMANA-25-31/D03-27-08-OFERTAS-E-CADASTROS.md</t>
        </is>
      </c>
      <c r="E81" s="18" t="inlineStr">
        <is>
          <t>cc7f6e1f32fdd25f6faf7a33cf87085f83db9721a912d3d82dfe41130506f3e1</t>
        </is>
      </c>
      <c r="F81" s="17" t="inlineStr">
        <is>
          <t>Plano e cronograma</t>
        </is>
      </c>
      <c r="G81" s="17" t="inlineStr">
        <is>
          <t>2</t>
        </is>
      </c>
      <c r="H81" s="17" t="inlineStr">
        <is>
          <t>EV-7450f6f084;EV-fc04c194bf</t>
        </is>
      </c>
    </row>
    <row r="82">
      <c r="A82" s="17" t="inlineStr">
        <is>
          <t>DOC-C15-021</t>
        </is>
      </c>
      <c r="B82" s="17" t="inlineStr">
        <is>
          <t>C15</t>
        </is>
      </c>
      <c r="C82" s="17" t="inlineStr">
        <is>
          <t>D14-07-09-LANCAMENTO.md</t>
        </is>
      </c>
      <c r="D82" s="18" t="inlineStr">
        <is>
          <t>PLANO EDITORIAL-PRODUTOS-SERVICOS/07-CALENDARIO/03-FECHAMENTO-06-07/D14-07-09-LANCAMENTO.md</t>
        </is>
      </c>
      <c r="E82" s="18" t="inlineStr">
        <is>
          <t>61205522e26c78536103900421bf21433ab516ade10fb0f7bdaf62c492e70960</t>
        </is>
      </c>
      <c r="F82" s="17" t="inlineStr">
        <is>
          <t>Plano e cronograma</t>
        </is>
      </c>
      <c r="G82" s="17" t="inlineStr">
        <is>
          <t>1</t>
        </is>
      </c>
      <c r="H82" s="17" t="inlineStr">
        <is>
          <t>EV-babf7a9d21</t>
        </is>
      </c>
    </row>
    <row r="83">
      <c r="A83" s="17" t="inlineStr">
        <is>
          <t>DOC-C16-003</t>
        </is>
      </c>
      <c r="B83" s="17" t="inlineStr">
        <is>
          <t>C16</t>
        </is>
      </c>
      <c r="C83" s="17" t="inlineStr">
        <is>
          <t>MED-001-LIGACOES-E-FORMULARIOS.md</t>
        </is>
      </c>
      <c r="D83" s="18" t="inlineStr">
        <is>
          <t>PLANO EDITORIAL-PRODUTOS-SERVICOS/08-MEDICAO-E-EVIDENCIAS/MED-001-LIGACOES-E-FORMULARIOS.md</t>
        </is>
      </c>
      <c r="E83" s="18" t="inlineStr">
        <is>
          <t>07787aa97bb78e32ac6f4468b36afd3c8a634612b39b10dd3af74757b330bc88</t>
        </is>
      </c>
      <c r="F83" s="17" t="inlineStr">
        <is>
          <t>Plano e cronograma</t>
        </is>
      </c>
      <c r="G83" s="17" t="inlineStr">
        <is>
          <t>4</t>
        </is>
      </c>
      <c r="H83" s="17" t="inlineStr">
        <is>
          <t>EV-5784755cf8;EV-750f6947f2;EV-0fefc1b8b4;EV-4b0e0bbbd7</t>
        </is>
      </c>
    </row>
    <row r="84">
      <c r="A84" s="17" t="inlineStr">
        <is>
          <t>DOC-C16-005</t>
        </is>
      </c>
      <c r="B84" s="17" t="inlineStr">
        <is>
          <t>C16</t>
        </is>
      </c>
      <c r="C84" s="17" t="inlineStr">
        <is>
          <t>MED-003-CONFERENCIA-05-09.md</t>
        </is>
      </c>
      <c r="D84" s="18" t="inlineStr">
        <is>
          <t>PLANO EDITORIAL-PRODUTOS-SERVICOS/08-MEDICAO-E-EVIDENCIAS/MED-003-CONFERENCIA-05-09.md</t>
        </is>
      </c>
      <c r="E84" s="18" t="inlineStr">
        <is>
          <t>5983bce869b859e0063001b8ba9a65030bb5e41c8600d9bb7d8f66e557be4417</t>
        </is>
      </c>
      <c r="F84" s="17" t="inlineStr">
        <is>
          <t>Plano e cronograma</t>
        </is>
      </c>
      <c r="G84" s="17" t="inlineStr">
        <is>
          <t>1</t>
        </is>
      </c>
      <c r="H84" s="17" t="inlineStr">
        <is>
          <t>EV-77ec99a851</t>
        </is>
      </c>
    </row>
    <row r="85">
      <c r="A85" s="17" t="inlineStr">
        <is>
          <t>DOC-C16-006</t>
        </is>
      </c>
      <c r="B85" s="17" t="inlineStr">
        <is>
          <t>C16</t>
        </is>
      </c>
      <c r="C85" s="17" t="inlineStr">
        <is>
          <t>MED-004-LANCAMENTO-07-09.md</t>
        </is>
      </c>
      <c r="D85" s="18" t="inlineStr">
        <is>
          <t>PLANO EDITORIAL-PRODUTOS-SERVICOS/08-MEDICAO-E-EVIDENCIAS/MED-004-LANCAMENTO-07-09.md</t>
        </is>
      </c>
      <c r="E85" s="18" t="inlineStr">
        <is>
          <t>6e05cf1bfb02511ac2d27b533b0ce1c5305cfd98258e040b6edc5b683fd17991</t>
        </is>
      </c>
      <c r="F85" s="17" t="inlineStr">
        <is>
          <t>Plano e cronograma</t>
        </is>
      </c>
      <c r="G85" s="17" t="inlineStr">
        <is>
          <t>2</t>
        </is>
      </c>
      <c r="H85" s="17" t="inlineStr">
        <is>
          <t>EV-29ca9afe56;EV-7d2b3e236a</t>
        </is>
      </c>
    </row>
    <row r="86">
      <c r="A86" s="17" t="inlineStr">
        <is>
          <t>DOC-C18-002</t>
        </is>
      </c>
      <c r="B86" s="17" t="inlineStr">
        <is>
          <t>C18</t>
        </is>
      </c>
      <c r="C86" s="17" t="inlineStr">
        <is>
          <t>00-ABRA-AQUI.md</t>
        </is>
      </c>
      <c r="D86" s="17" t="inlineStr">
        <is>
          <t>PLANO EDITORIAL-PRODUTOS-SERVICOS/00-ABRA-AQUI.md</t>
        </is>
      </c>
      <c r="E86" s="18" t="inlineStr">
        <is>
          <t>c74b5e487a7f8fb0c0487d4e0f93dc6e06e869ac93f15a572eec404d8cae77f7</t>
        </is>
      </c>
      <c r="F86" s="17" t="inlineStr">
        <is>
          <t>Orientação e README</t>
        </is>
      </c>
      <c r="G86" s="17" t="inlineStr">
        <is>
          <t>2</t>
        </is>
      </c>
      <c r="H86" s="17" t="inlineStr">
        <is>
          <t>EV-a501212a76;EV-717719b0ac</t>
        </is>
      </c>
    </row>
    <row r="87">
      <c r="A87" s="17" t="inlineStr">
        <is>
          <t>DOC-C18-003</t>
        </is>
      </c>
      <c r="B87" s="17" t="inlineStr">
        <is>
          <t>C18</t>
        </is>
      </c>
      <c r="C87" s="17" t="inlineStr">
        <is>
          <t>ARVORE-DE-PASTAS.txt</t>
        </is>
      </c>
      <c r="D87" s="17" t="inlineStr">
        <is>
          <t>PLANO EDITORIAL-PRODUTOS-SERVICOS/ARVORE-DE-PASTAS.txt</t>
        </is>
      </c>
      <c r="E87" s="18" t="inlineStr">
        <is>
          <t>f84ef20ffd91746b2817fd57dadae6328bdc27fdbe5a0e9fbb82b3db7c031939</t>
        </is>
      </c>
      <c r="F87" s="17" t="inlineStr">
        <is>
          <t>Índice e inventário</t>
        </is>
      </c>
      <c r="G87" s="17" t="inlineStr">
        <is>
          <t>1</t>
        </is>
      </c>
      <c r="H87" s="17" t="inlineStr">
        <is>
          <t>EV-0edc4e635a</t>
        </is>
      </c>
    </row>
  </sheetData>
  <autoFilter ref="A1:H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64" customWidth="1" min="5" max="5"/>
    <col width="60" customWidth="1" min="6" max="6"/>
    <col width="13" customWidth="1" min="7" max="7"/>
  </cols>
  <sheetData>
    <row r="1">
      <c r="A1" s="16" t="inlineStr">
        <is>
          <t>lacuna_id</t>
        </is>
      </c>
      <c r="B1" s="16" t="inlineStr">
        <is>
          <t>origem</t>
        </is>
      </c>
      <c r="C1" s="16" t="inlineStr">
        <is>
          <t>unidade</t>
        </is>
      </c>
      <c r="D1" s="16" t="inlineStr">
        <is>
          <t>alvo</t>
        </is>
      </c>
      <c r="E1" s="16" t="inlineStr">
        <is>
          <t>descricao</t>
        </is>
      </c>
      <c r="F1" s="16" t="inlineStr">
        <is>
          <t>pesquisa_necessaria</t>
        </is>
      </c>
      <c r="G1" s="16" t="inlineStr">
        <is>
          <t>prioridade</t>
        </is>
      </c>
    </row>
    <row r="2">
      <c r="A2" s="17" t="inlineStr">
        <is>
          <t>GA-5ef3eb6171</t>
        </is>
      </c>
      <c r="B2" s="17" t="inlineStr">
        <is>
          <t>strategic_analysis</t>
        </is>
      </c>
      <c r="C2" s="17" t="inlineStr">
        <is>
          <t>ECO-01</t>
        </is>
      </c>
      <c r="D2" s="17" t="inlineStr">
        <is>
          <t>SA-01/environmental</t>
        </is>
      </c>
      <c r="E2" s="18" t="inlineStr">
        <is>
          <t>Nao ha analise PESTEL formal por unidade no acervo; os fatores existem dispersos em fontes de evidencia e decisao.</t>
        </is>
      </c>
      <c r="F2" s="18" t="inlineStr">
        <is>
          <t>Consolidar um PESTEL de uma pagina por unidade a partir das fontes ja catalogadas, sem pesquisa nova.</t>
        </is>
      </c>
      <c r="G2" s="17" t="inlineStr">
        <is>
          <t>low</t>
        </is>
      </c>
    </row>
    <row r="3">
      <c r="A3" s="17" t="inlineStr">
        <is>
          <t>GA-c49ee82e38</t>
        </is>
      </c>
      <c r="B3" s="17" t="inlineStr">
        <is>
          <t>strategic_analysis</t>
        </is>
      </c>
      <c r="C3" s="17" t="inlineStr">
        <is>
          <t>ECO-01</t>
        </is>
      </c>
      <c r="D3" s="17" t="inlineStr">
        <is>
          <t>SA-02/new_entrants</t>
        </is>
      </c>
      <c r="E3" s="18" t="inlineStr">
        <is>
          <t>Nao ha no acervo qualquer analise de barreiras a entrada para a categoria do app.</t>
        </is>
      </c>
      <c r="F3" s="18" t="inlineStr">
        <is>
          <t>Definir explicitamente qual e o ativo defensavel (base de evidencias governada, motor de rota ou dados de execucao) antes do lancamento comercial.</t>
        </is>
      </c>
      <c r="G3" s="17" t="inlineStr">
        <is>
          <t>low</t>
        </is>
      </c>
    </row>
    <row r="4">
      <c r="A4" s="17" t="inlineStr">
        <is>
          <t>GA-f64ebedfd8</t>
        </is>
      </c>
      <c r="B4" s="17" t="inlineStr">
        <is>
          <t>strategic_analysis</t>
        </is>
      </c>
      <c r="C4" s="17" t="inlineStr">
        <is>
          <t>ECO-07</t>
        </is>
      </c>
      <c r="D4" s="17" t="inlineStr">
        <is>
          <t>SA-02/rivalry</t>
        </is>
      </c>
      <c r="E4" s="18" t="inlineStr">
        <is>
          <t>Nao ha mapeamento de concorrentes para o Estudio no acervo lido.</t>
        </is>
      </c>
      <c r="F4" s="18" t="inlineStr">
        <is>
          <t>Levantar 5 comparaveis de consultoria de automacao no Brasil antes de fixar o preco de R$700 como diferencial.</t>
        </is>
      </c>
      <c r="G4" s="17" t="inlineStr">
        <is>
          <t>medium</t>
        </is>
      </c>
    </row>
    <row r="5">
      <c r="A5" s="17" t="inlineStr">
        <is>
          <t>GA-ac6a83fa9f</t>
        </is>
      </c>
      <c r="B5" s="17" t="inlineStr">
        <is>
          <t>strategic_analysis</t>
        </is>
      </c>
      <c r="C5" s="17" t="inlineStr">
        <is>
          <t>ECO-01</t>
        </is>
      </c>
      <c r="D5" s="17" t="inlineStr">
        <is>
          <t>SA-03B/tam_methodology</t>
        </is>
      </c>
      <c r="E5" s="18" t="inlineStr">
        <is>
          <t>Nao ha base nem metodologia identificavel para produzir um TAM defensavel do EXECUTAR neste acervo.</t>
        </is>
      </c>
      <c r="F5" s="18" t="inlineStr">
        <is>
          <t>Para fechar: fixar universo (ex.: conta propria com uso de ferramenta digital), taxa de adocao observada e ARPU validado por PRICE-01; so entao calcular.</t>
        </is>
      </c>
      <c r="G5" s="17" t="inlineStr">
        <is>
          <t>high</t>
        </is>
      </c>
    </row>
    <row r="6">
      <c r="A6" s="17" t="inlineStr">
        <is>
          <t>GA-7e26ede5c3</t>
        </is>
      </c>
      <c r="B6" s="17" t="inlineStr">
        <is>
          <t>strategic_analysis</t>
        </is>
      </c>
      <c r="C6" s="17" t="inlineStr">
        <is>
          <t>ECO-02</t>
        </is>
      </c>
      <c r="D6" s="17" t="inlineStr">
        <is>
          <t>SA-03B/tam</t>
        </is>
      </c>
      <c r="E6" s="18" t="inlineStr">
        <is>
          <t>Nao existe dimensionamento de mercado especifico para a unidade editorial.</t>
        </is>
      </c>
      <c r="F6" s="18" t="inlineStr">
        <is>
          <t>Se o blog for monetizar, dimensionar por RPM x sessoes projetadas apos a campanha inaugural, nao antes.</t>
        </is>
      </c>
      <c r="G6" s="17" t="inlineStr">
        <is>
          <t>low</t>
        </is>
      </c>
    </row>
    <row r="7">
      <c r="A7" s="17" t="inlineStr">
        <is>
          <t>GA-2d1937278e</t>
        </is>
      </c>
      <c r="B7" s="17" t="inlineStr">
        <is>
          <t>strategic_analysis</t>
        </is>
      </c>
      <c r="C7" s="17" t="inlineStr">
        <is>
          <t>ECO-07</t>
        </is>
      </c>
      <c r="D7" s="17" t="inlineStr">
        <is>
          <t>SA-03B/tam</t>
        </is>
      </c>
      <c r="E7" s="18" t="inlineStr">
        <is>
          <t>Nao existe TAM/SAM/SOM para os servicos; ha apenas preco e capacidade.</t>
        </is>
      </c>
      <c r="F7" s="18" t="inlineStr">
        <is>
          <t>Para servico com capacidade travada em 1 cliente/semana, o dimensionamento relevante e fila de demanda qualificada, nao TAM.</t>
        </is>
      </c>
      <c r="G7" s="17" t="inlineStr">
        <is>
          <t>medium</t>
        </is>
      </c>
    </row>
    <row r="8">
      <c r="A8" s="17" t="inlineStr">
        <is>
          <t>GA-905f4f84be</t>
        </is>
      </c>
      <c r="B8" s="17" t="inlineStr">
        <is>
          <t>strategic_analysis</t>
        </is>
      </c>
      <c r="C8" s="17" t="inlineStr">
        <is>
          <t>ECO-07</t>
        </is>
      </c>
      <c r="D8" s="17" t="inlineStr">
        <is>
          <t>SA-04A/segment_definition</t>
        </is>
      </c>
      <c r="E8" s="18" t="inlineStr">
        <is>
          <t>Nao ha definicao de segmento para os servicos alem de tres familias nao especificadas no acervo lido.</t>
        </is>
      </c>
      <c r="F8" s="18" t="inlineStr">
        <is>
          <t>Recuperar ou redigir a especificacao das tres familias de servico antes de publicar PAG-002-SERVICOS.</t>
        </is>
      </c>
      <c r="G8" s="17" t="inlineStr">
        <is>
          <t>high</t>
        </is>
      </c>
    </row>
    <row r="9">
      <c r="A9" s="17" t="inlineStr">
        <is>
          <t>GA-df40a00475</t>
        </is>
      </c>
      <c r="B9" s="17" t="inlineStr">
        <is>
          <t>strategic_analysis</t>
        </is>
      </c>
      <c r="C9" s="17" t="inlineStr">
        <is>
          <t>ECO-07</t>
        </is>
      </c>
      <c r="D9" s="17" t="inlineStr">
        <is>
          <t>SA-04B/icp</t>
        </is>
      </c>
      <c r="E9" s="18" t="inlineStr">
        <is>
          <t>O ICP do Estudio esta implicito no formulario de entrada, nao declarado.</t>
        </is>
      </c>
      <c r="F9" s="18" t="inlineStr">
        <is>
          <t>Derivar o ICP do Estudio a partir das respostas das primeiras semanas e registra-lo antes de escalar a oferta.</t>
        </is>
      </c>
      <c r="G9" s="17" t="inlineStr">
        <is>
          <t>medium</t>
        </is>
      </c>
    </row>
    <row r="10">
      <c r="A10" s="17" t="inlineStr">
        <is>
          <t>GA-cb6ebc8d2c</t>
        </is>
      </c>
      <c r="B10" s="17" t="inlineStr">
        <is>
          <t>strategic_analysis</t>
        </is>
      </c>
      <c r="C10" s="17" t="inlineStr">
        <is>
          <t>ECO-01</t>
        </is>
      </c>
      <c r="D10" s="17" t="inlineStr">
        <is>
          <t>SA-06B/cost_structure</t>
        </is>
      </c>
      <c r="E10" s="18" t="inlineStr">
        <is>
          <t>O custo variavel de IA e reconhecido como evento a medir, mas nao ha nenhum valor estimado no acervo.</t>
        </is>
      </c>
      <c r="F10" s="18" t="inlineStr">
        <is>
          <t>Estimar custo variavel por usuario ativo antes de fixar R$49,90; com margem premissa de 85%, o custo de IA e a variavel que pode derrubar o modelo.</t>
        </is>
      </c>
      <c r="G10" s="17" t="inlineStr">
        <is>
          <t>high</t>
        </is>
      </c>
    </row>
    <row r="11">
      <c r="A11" s="17" t="inlineStr">
        <is>
          <t>GA-5b2efc5d49</t>
        </is>
      </c>
      <c r="B11" s="17" t="inlineStr">
        <is>
          <t>strategic_analysis</t>
        </is>
      </c>
      <c r="C11" s="17" t="inlineStr">
        <is>
          <t>ECO-02</t>
        </is>
      </c>
      <c r="D11" s="17" t="inlineStr">
        <is>
          <t>SA-06B/economics</t>
        </is>
      </c>
      <c r="E11" s="18" t="inlineStr">
        <is>
          <t>Nao existe modelo economico proprio para a unidade editorial.</t>
        </is>
      </c>
      <c r="F11" s="18" t="inlineStr">
        <is>
          <t>Aceitar o blog como investimento de categoria na fase 1 e definir explicitamente quando ele passa a ter meta economica.</t>
        </is>
      </c>
      <c r="G11" s="17" t="inlineStr">
        <is>
          <t>low</t>
        </is>
      </c>
    </row>
    <row r="12">
      <c r="A12" s="17" t="inlineStr">
        <is>
          <t>GA-5d275f04c5</t>
        </is>
      </c>
      <c r="B12" s="17" t="inlineStr">
        <is>
          <t>strategic_analysis</t>
        </is>
      </c>
      <c r="C12" s="17" t="inlineStr">
        <is>
          <t>ECO-01</t>
        </is>
      </c>
      <c r="D12" s="17" t="inlineStr">
        <is>
          <t>SA-10A/market_attractiveness</t>
        </is>
      </c>
      <c r="E12" s="18" t="inlineStr">
        <is>
          <t>Nao ha base para pontuar atratividade de mercado do app: nenhum dos insumos de tamanho, crescimento ou rentabilidade esta verificado.</t>
        </is>
      </c>
      <c r="F12" s="18" t="inlineStr">
        <is>
          <t>Adiar qualquer scoring formal de atratividade; a decisao de continuar deve se apoiar em PMF-01, nao em tamanho de mercado.</t>
        </is>
      </c>
      <c r="G12" s="17" t="inlineStr">
        <is>
          <t>medium</t>
        </is>
      </c>
    </row>
    <row r="13">
      <c r="A13" s="17" t="inlineStr">
        <is>
          <t>GA-d055fdd83f</t>
        </is>
      </c>
      <c r="B13" s="17" t="inlineStr">
        <is>
          <t>strategic_analysis</t>
        </is>
      </c>
      <c r="C13" s="17" t="inlineStr">
        <is>
          <t>ECO-01</t>
        </is>
      </c>
      <c r="D13" s="17" t="inlineStr">
        <is>
          <t>SA-12/mrd_artifact</t>
        </is>
      </c>
      <c r="E13" s="18" t="inlineStr">
        <is>
          <t>Nao existe um MRD consolidado; os requisitos estao dispersos entre decisoes, matriz e visao de oferta.</t>
        </is>
      </c>
      <c r="F13" s="18" t="inlineStr">
        <is>
          <t>Montar um MRD de uma pagina consolidando as 22 decisoes + 11 decisoes de design; o conteudo ja existe, falta o artefato.</t>
        </is>
      </c>
      <c r="G13" s="17" t="inlineStr">
        <is>
          <t>medium</t>
        </is>
      </c>
    </row>
    <row r="14">
      <c r="A14" s="17" t="inlineStr">
        <is>
          <t>GA-0f246d83ae</t>
        </is>
      </c>
      <c r="B14" s="17" t="inlineStr">
        <is>
          <t>strategic_analysis</t>
        </is>
      </c>
      <c r="C14" s="17" t="inlineStr">
        <is>
          <t>ECO-03</t>
        </is>
      </c>
      <c r="D14" s="17" t="inlineStr">
        <is>
          <t>SA-13/gtm</t>
        </is>
      </c>
      <c r="E14" s="18" t="inlineStr">
        <is>
          <t>Nao ha plano de go-to-market para o framework como produto intelectual, apenas uma escada de maturidade.</t>
        </is>
      </c>
      <c r="F14" s="18" t="inlineStr">
        <is>
          <t>Definir veiculo e prazo do white paper; sem data, a escada de maturidade fica indefinidamente na etapa 1.</t>
        </is>
      </c>
      <c r="G14" s="17" t="inlineStr">
        <is>
          <t>medium</t>
        </is>
      </c>
    </row>
    <row r="15">
      <c r="A15" s="17" t="inlineStr">
        <is>
          <t>GA-1d0272912e</t>
        </is>
      </c>
      <c r="B15" s="17" t="inlineStr">
        <is>
          <t>strategic_analysis</t>
        </is>
      </c>
      <c r="C15" s="17" t="inlineStr">
        <is>
          <t>ECO-04</t>
        </is>
      </c>
      <c r="D15" s="17" t="inlineStr">
        <is>
          <t>SA-01/legal_regulatory</t>
        </is>
      </c>
      <c r="E15" s="18" t="inlineStr">
        <is>
          <t>A mockup de loja fisica promete devolucao em 7 dias e frete gratis acima de R$ 199 sem que exista politica, contrato de transporte ou operacao logistica documentada no acervo.</t>
        </is>
      </c>
      <c r="F15" s="18" t="inlineStr">
        <is>
          <t>Nao publicar promessas de frete e devolucao sem politica escrita e operador logistico definido; remover as promessas da peca ate existir a politica.</t>
        </is>
      </c>
      <c r="G15" s="17" t="inlineStr">
        <is>
          <t>high</t>
        </is>
      </c>
    </row>
    <row r="16">
      <c r="A16" s="17" t="inlineStr">
        <is>
          <t>GA-a407e314cb</t>
        </is>
      </c>
      <c r="B16" s="17" t="inlineStr">
        <is>
          <t>strategic_analysis</t>
        </is>
      </c>
      <c r="C16" s="17" t="inlineStr">
        <is>
          <t>ECO-04</t>
        </is>
      </c>
      <c r="D16" s="17" t="inlineStr">
        <is>
          <t>SA-02/supplier_power</t>
        </is>
      </c>
      <c r="E16" s="18" t="inlineStr">
        <is>
          <t>Nenhum fornecedor, prazo de entrega, lote minimo ou contrato aparece nomeado em qualquer documento da linha fisica.</t>
        </is>
      </c>
      <c r="F16" s="18" t="inlineStr">
        <is>
          <t>Nomear ao menos um fornecedor por SKU com MOQ e lead time antes de abrir pre-venda com prazo de entrega explicito.</t>
        </is>
      </c>
      <c r="G16" s="17" t="inlineStr">
        <is>
          <t>high</t>
        </is>
      </c>
    </row>
    <row r="17">
      <c r="A17" s="17" t="inlineStr">
        <is>
          <t>GA-de255875b4</t>
        </is>
      </c>
      <c r="B17" s="17" t="inlineStr">
        <is>
          <t>strategic_analysis</t>
        </is>
      </c>
      <c r="C17" s="17" t="inlineStr">
        <is>
          <t>ECO-06</t>
        </is>
      </c>
      <c r="D17" s="17" t="inlineStr">
        <is>
          <t>SA-02/new_entrants</t>
        </is>
      </c>
      <c r="E17" s="18" t="inlineStr">
        <is>
          <t>Nao ha analise de barreiras de entrada, concorrentes ou substitutos para a linha de livros no acervo lido.</t>
        </is>
      </c>
      <c r="F17" s="18" t="inlineStr">
        <is>
          <t>Reaproveitar o benchmark de e-books de DOC-C05-001 como base e registrar explicitamente que ele nao cobre o livro autoral de Risco Cognitivo.</t>
        </is>
      </c>
      <c r="G17" s="17" t="inlineStr">
        <is>
          <t>medium</t>
        </is>
      </c>
    </row>
    <row r="18">
      <c r="A18" s="17" t="inlineStr">
        <is>
          <t>GA-8860334b23</t>
        </is>
      </c>
      <c r="B18" s="17" t="inlineStr">
        <is>
          <t>strategic_analysis</t>
        </is>
      </c>
      <c r="C18" s="17" t="inlineStr">
        <is>
          <t>ECO-04</t>
        </is>
      </c>
      <c r="D18" s="17" t="inlineStr">
        <is>
          <t>SA-03A/market_structure</t>
        </is>
      </c>
      <c r="E18" s="18" t="inlineStr">
        <is>
          <t>A categoria 'comercio eletronico de nicho' e nomeada na segmentacao do setor, mas nenhum documento dimensiona ou caracteriza o mercado de papelaria neuroadaptada.</t>
        </is>
      </c>
      <c r="F18" s="18" t="inlineStr">
        <is>
          <t>Levantar 5 lojas de papelaria/planner neuro no Brasil com preco e sortimento antes de definir preco do Neurobook.</t>
        </is>
      </c>
      <c r="G18" s="17" t="inlineStr">
        <is>
          <t>medium</t>
        </is>
      </c>
    </row>
    <row r="19">
      <c r="A19" s="17" t="inlineStr">
        <is>
          <t>GA-4474c20516</t>
        </is>
      </c>
      <c r="B19" s="17" t="inlineStr">
        <is>
          <t>strategic_analysis</t>
        </is>
      </c>
      <c r="C19" s="17" t="inlineStr">
        <is>
          <t>ECO-04</t>
        </is>
      </c>
      <c r="D19" s="17" t="inlineStr">
        <is>
          <t>SA-03B/tam</t>
        </is>
      </c>
      <c r="E19" s="18" t="inlineStr">
        <is>
          <t>Nao existe TAM para esta unidade: o unico TAM do acervo (R$ 5,07 bi) e atribuido ao 'Projeto Neuroexecucao Aplicada' como um todo e tem base amostral nao informada.</t>
        </is>
      </c>
      <c r="F19" s="18" t="inlineStr">
        <is>
          <t>Nao reutilizar o TAM agregado para dimensionar a linha de produto fisico; se um numero for necessario, construi-lo a partir de precos e volumes proprios com metodologia registrada.</t>
        </is>
      </c>
      <c r="G19" s="17" t="inlineStr">
        <is>
          <t>low</t>
        </is>
      </c>
    </row>
    <row r="20">
      <c r="A20" s="17" t="inlineStr">
        <is>
          <t>GA-e830932a3e</t>
        </is>
      </c>
      <c r="B20" s="17" t="inlineStr">
        <is>
          <t>strategic_analysis</t>
        </is>
      </c>
      <c r="C20" s="17" t="inlineStr">
        <is>
          <t>ECO-05</t>
        </is>
      </c>
      <c r="D20" s="17" t="inlineStr">
        <is>
          <t>SA-03B/tam</t>
        </is>
      </c>
      <c r="E20" s="18" t="inlineStr">
        <is>
          <t>Nao existe TAM para esta unidade: o unico TAM do acervo (R$ 5,07 bi) e atribuido ao 'Projeto Neuroexecucao Aplicada' como um todo e tem base amostral nao informada.</t>
        </is>
      </c>
      <c r="F20" s="18" t="inlineStr">
        <is>
          <t>Nao reutilizar o TAM agregado para dimensionar a linha de infoproduto; se um numero for necessario, construi-lo a partir de precos e volumes proprios com metodologia registrada.</t>
        </is>
      </c>
      <c r="G20" s="17" t="inlineStr">
        <is>
          <t>low</t>
        </is>
      </c>
    </row>
    <row r="21">
      <c r="A21" s="17" t="inlineStr">
        <is>
          <t>GA-a869972d52</t>
        </is>
      </c>
      <c r="B21" s="17" t="inlineStr">
        <is>
          <t>strategic_analysis</t>
        </is>
      </c>
      <c r="C21" s="17" t="inlineStr">
        <is>
          <t>ECO-06</t>
        </is>
      </c>
      <c r="D21" s="17" t="inlineStr">
        <is>
          <t>SA-03B/tam</t>
        </is>
      </c>
      <c r="E21" s="18" t="inlineStr">
        <is>
          <t>Nao existe TAM para esta unidade: o unico TAM do acervo (R$ 5,07 bi) e atribuido ao 'Projeto Neuroexecucao Aplicada' como um todo e tem base amostral nao informada.</t>
        </is>
      </c>
      <c r="F21" s="18" t="inlineStr">
        <is>
          <t>Nao reutilizar o TAM agregado para dimensionar a linha de livro; se um numero for necessario, construi-lo a partir de precos e volumes proprios com metodologia registrada.</t>
        </is>
      </c>
      <c r="G21" s="17" t="inlineStr">
        <is>
          <t>low</t>
        </is>
      </c>
    </row>
    <row r="22">
      <c r="A22" s="17" t="inlineStr">
        <is>
          <t>GA-3730e977f1</t>
        </is>
      </c>
      <c r="B22" s="17" t="inlineStr">
        <is>
          <t>strategic_analysis</t>
        </is>
      </c>
      <c r="C22" s="17" t="inlineStr">
        <is>
          <t>ECO-08</t>
        </is>
      </c>
      <c r="D22" s="17" t="inlineStr">
        <is>
          <t>SA-03B/tam</t>
        </is>
      </c>
      <c r="E22" s="18" t="inlineStr">
        <is>
          <t>Nao existe TAM para esta unidade: o unico TAM do acervo (R$ 5,07 bi) e atribuido ao 'Projeto Neuroexecucao Aplicada' como um todo e tem base amostral nao informada.</t>
        </is>
      </c>
      <c r="F22" s="18" t="inlineStr">
        <is>
          <t>Nao reutilizar o TAM agregado para dimensionar a linha de ecossistema creator; se um numero for necessario, construi-lo a partir de precos e volumes proprios com metodologia registrada.</t>
        </is>
      </c>
      <c r="G22" s="17" t="inlineStr">
        <is>
          <t>low</t>
        </is>
      </c>
    </row>
    <row r="23">
      <c r="A23" s="17" t="inlineStr">
        <is>
          <t>GA-878e356dae</t>
        </is>
      </c>
      <c r="B23" s="17" t="inlineStr">
        <is>
          <t>strategic_analysis</t>
        </is>
      </c>
      <c r="C23" s="17" t="inlineStr">
        <is>
          <t>ECO-05</t>
        </is>
      </c>
      <c r="D23" s="17" t="inlineStr">
        <is>
          <t>SA-03C/sam</t>
        </is>
      </c>
      <c r="E23" s="18" t="inlineStr">
        <is>
          <t>Nao existe SAM da linha de infoprodutos; o benchmark disponivel e de precos praticados por concorrentes, nao de tamanho de mercado.</t>
        </is>
      </c>
      <c r="F23" s="18" t="inlineStr">
        <is>
          <t>Derivar um SAM apenas depois do primeiro lote de vendas, usando conversao real da lista e trafego observado.</t>
        </is>
      </c>
      <c r="G23" s="17" t="inlineStr">
        <is>
          <t>low</t>
        </is>
      </c>
    </row>
    <row r="24">
      <c r="A24" s="17" t="inlineStr">
        <is>
          <t>GA-290f21d030</t>
        </is>
      </c>
      <c r="B24" s="17" t="inlineStr">
        <is>
          <t>strategic_analysis</t>
        </is>
      </c>
      <c r="C24" s="17" t="inlineStr">
        <is>
          <t>ECO-04</t>
        </is>
      </c>
      <c r="D24" s="17" t="inlineStr">
        <is>
          <t>SA-03D/som</t>
        </is>
      </c>
      <c r="E24" s="18" t="inlineStr">
        <is>
          <t>Nao ha SOM da linha fisica; a estrategia declarada e justamente medir intencao antes de projetar volume.</t>
        </is>
      </c>
      <c r="F24" s="18" t="inlineStr">
        <is>
          <t>Instrumentar a pagina de produto e a lista de interesse no lancamento; o SOM so pode nascer dessa medicao.</t>
        </is>
      </c>
      <c r="G24" s="17" t="inlineStr">
        <is>
          <t>medium</t>
        </is>
      </c>
    </row>
    <row r="25">
      <c r="A25" s="17" t="inlineStr">
        <is>
          <t>GA-b1f105faae</t>
        </is>
      </c>
      <c r="B25" s="17" t="inlineStr">
        <is>
          <t>strategic_analysis</t>
        </is>
      </c>
      <c r="C25" s="17" t="inlineStr">
        <is>
          <t>ECO-05</t>
        </is>
      </c>
      <c r="D25" s="17" t="inlineStr">
        <is>
          <t>SA-03D/som</t>
        </is>
      </c>
      <c r="E25" s="18" t="inlineStr">
        <is>
          <t>Nao ha SOM de infoprodutos; o SOM de tres anos do acervo (R$ 3,26 mi) e do projeto agregado, com base amostral nao informada.</t>
        </is>
      </c>
      <c r="F25" s="18" t="inlineStr">
        <is>
          <t>Substituir o SOM herdado por uma projecao propria a partir de conversao da lista x preco de lancamento, registrada com metodologia.</t>
        </is>
      </c>
      <c r="G25" s="17" t="inlineStr">
        <is>
          <t>low</t>
        </is>
      </c>
    </row>
    <row r="26">
      <c r="A26" s="17" t="inlineStr">
        <is>
          <t>GA-b6dd4e1cc6</t>
        </is>
      </c>
      <c r="B26" s="17" t="inlineStr">
        <is>
          <t>strategic_analysis</t>
        </is>
      </c>
      <c r="C26" s="17" t="inlineStr">
        <is>
          <t>ECO-04</t>
        </is>
      </c>
      <c r="D26" s="17" t="inlineStr">
        <is>
          <t>SA-04B/icp</t>
        </is>
      </c>
      <c r="E26" s="18" t="inlineStr">
        <is>
          <t>Nao existe ICP proprio da linha fisica; o unico perfil detalhado do acervo e o do usuario do aplicativo e nao pode ser herdado.</t>
        </is>
      </c>
      <c r="F26" s="18" t="inlineStr">
        <is>
          <t>Definir o comprador do kit fisico separadamente do usuario do app: quem compra papelaria, com que gatilho e a que preco.</t>
        </is>
      </c>
      <c r="G26" s="17" t="inlineStr">
        <is>
          <t>high</t>
        </is>
      </c>
    </row>
    <row r="27">
      <c r="A27" s="17" t="inlineStr">
        <is>
          <t>GA-d23ec0ffe4</t>
        </is>
      </c>
      <c r="B27" s="17" t="inlineStr">
        <is>
          <t>strategic_analysis</t>
        </is>
      </c>
      <c r="C27" s="17" t="inlineStr">
        <is>
          <t>ECO-05</t>
        </is>
      </c>
      <c r="D27" s="17" t="inlineStr">
        <is>
          <t>SA-04B/icp</t>
        </is>
      </c>
      <c r="E27" s="18" t="inlineStr">
        <is>
          <t>Nao existe ICP proprio do infoproduto; o curso e definido por estrutura (4 modulos) e nao por comprador.</t>
        </is>
      </c>
      <c r="F27" s="18" t="inlineStr">
        <is>
          <t>Escrever a descricao e promessa do curso a partir de um comprador nomeado; hoje a promessa e um item aberto da checklist.</t>
        </is>
      </c>
      <c r="G27" s="17" t="inlineStr">
        <is>
          <t>high</t>
        </is>
      </c>
    </row>
    <row r="28">
      <c r="A28" s="17" t="inlineStr">
        <is>
          <t>GA-ceb35b3a15</t>
        </is>
      </c>
      <c r="B28" s="17" t="inlineStr">
        <is>
          <t>strategic_analysis</t>
        </is>
      </c>
      <c r="C28" s="17" t="inlineStr">
        <is>
          <t>ECO-08</t>
        </is>
      </c>
      <c r="D28" s="17" t="inlineStr">
        <is>
          <t>SA-04B/icp</t>
        </is>
      </c>
      <c r="E28" s="18" t="inlineStr">
        <is>
          <t>O acervo registra como lacuna a ausencia de confirmacao de disposicao a pagar do publico-alvo para minicurso e kit fisico.</t>
        </is>
      </c>
      <c r="F28" s="18" t="inlineStr">
        <is>
          <t>Transformar o lancamento de 07/09 em experimento de disposicao a pagar com pre-venda medida, e nao apenas em publicacao.</t>
        </is>
      </c>
      <c r="G28" s="17" t="inlineStr">
        <is>
          <t>high</t>
        </is>
      </c>
    </row>
    <row r="29">
      <c r="A29" s="17" t="inlineStr">
        <is>
          <t>GA-12fceb618d</t>
        </is>
      </c>
      <c r="B29" s="17" t="inlineStr">
        <is>
          <t>strategic_analysis</t>
        </is>
      </c>
      <c r="C29" s="17" t="inlineStr">
        <is>
          <t>ECO-04</t>
        </is>
      </c>
      <c r="D29" s="17" t="inlineStr">
        <is>
          <t>SA-04D/voice_of_customer</t>
        </is>
      </c>
      <c r="E29" s="18" t="inlineStr">
        <is>
          <t>Nao existe nenhuma fala, entrevista ou pesquisa de cliente sobre produtos fisicos no acervo lido.</t>
        </is>
      </c>
      <c r="F29" s="18" t="inlineStr">
        <is>
          <t>Coletar 5 a 10 respostas de intencao na propria lista de interesse do Office Kit antes de comprar micro lote.</t>
        </is>
      </c>
      <c r="G29" s="17" t="inlineStr">
        <is>
          <t>high</t>
        </is>
      </c>
    </row>
    <row r="30">
      <c r="A30" s="17" t="inlineStr">
        <is>
          <t>GA-2a2a845a44</t>
        </is>
      </c>
      <c r="B30" s="17" t="inlineStr">
        <is>
          <t>strategic_analysis</t>
        </is>
      </c>
      <c r="C30" s="17" t="inlineStr">
        <is>
          <t>ECO-05</t>
        </is>
      </c>
      <c r="D30" s="17" t="inlineStr">
        <is>
          <t>SA-04D/voice_of_customer</t>
        </is>
      </c>
      <c r="E30" s="18" t="inlineStr">
        <is>
          <t>Nao existe voz de cliente sobre infoprodutos; as decisoes de formato e preco vieram de benchmark de mercado e de literatura de aprendizagem.</t>
        </is>
      </c>
      <c r="F30" s="18" t="inlineStr">
        <is>
          <t>Rodar um teste de mensagem com a lista antes do lancamento: qual dos tres titulos as pessoas escolheriam primeiro e por que.</t>
        </is>
      </c>
      <c r="G30" s="17" t="inlineStr">
        <is>
          <t>medium</t>
        </is>
      </c>
    </row>
    <row r="31">
      <c r="A31" s="17" t="inlineStr">
        <is>
          <t>GA-7f51f39a14</t>
        </is>
      </c>
      <c r="B31" s="17" t="inlineStr">
        <is>
          <t>strategic_analysis</t>
        </is>
      </c>
      <c r="C31" s="17" t="inlineStr">
        <is>
          <t>ECO-05</t>
        </is>
      </c>
      <c r="D31" s="17" t="inlineStr">
        <is>
          <t>SA-05/competitive_landscape</t>
        </is>
      </c>
      <c r="E31" s="18" t="inlineStr">
        <is>
          <t>O acervo traz seis referencias de curso e cinco de e-book com preco, mas sem URL, data de coleta ou identificacao dos concorrentes.</t>
        </is>
      </c>
      <c r="F31" s="18" t="inlineStr">
        <is>
          <t>Nomear e datar cada benchmark antes de usa-lo para justificar preco em pagina publica.</t>
        </is>
      </c>
      <c r="G31" s="17" t="inlineStr">
        <is>
          <t>medium</t>
        </is>
      </c>
    </row>
    <row r="32">
      <c r="A32" s="17" t="inlineStr">
        <is>
          <t>GA-edc027e6ad</t>
        </is>
      </c>
      <c r="B32" s="17" t="inlineStr">
        <is>
          <t>strategic_analysis</t>
        </is>
      </c>
      <c r="C32" s="17" t="inlineStr">
        <is>
          <t>ECO-08</t>
        </is>
      </c>
      <c r="D32" s="17" t="inlineStr">
        <is>
          <t>SA-05/competitive_landscape</t>
        </is>
      </c>
      <c r="E32" s="18" t="inlineStr">
        <is>
          <t>Nao existe mapeamento de criadores ou canais concorrentes de TDAH adulto no Brasil, apesar de 'midia/autoridade medica' e 'infoprodutores' serem categorias declaradas.</t>
        </is>
      </c>
      <c r="F32" s="18" t="inlineStr">
        <is>
          <t>Listar 10 canais brasileiros de TDAH adulto com formato, frequencia e CTA antes de fixar a grade de publicacao.</t>
        </is>
      </c>
      <c r="G32" s="17" t="inlineStr">
        <is>
          <t>medium</t>
        </is>
      </c>
    </row>
    <row r="33">
      <c r="A33" s="17" t="inlineStr">
        <is>
          <t>GA-9b83adb329</t>
        </is>
      </c>
      <c r="B33" s="17" t="inlineStr">
        <is>
          <t>strategic_analysis</t>
        </is>
      </c>
      <c r="C33" s="17" t="inlineStr">
        <is>
          <t>ECO-04</t>
        </is>
      </c>
      <c r="D33" s="17" t="inlineStr">
        <is>
          <t>SA-06B/unit_economics</t>
        </is>
      </c>
      <c r="E33" s="18" t="inlineStr">
        <is>
          <t>A estrutura de economia unitaria da linha fisica esta completamente definida como formula e completamente vazia como numero.</t>
        </is>
      </c>
      <c r="F33" s="18" t="inlineStr">
        <is>
          <t>Preencher a coluna de custo de um SKU real (Timer 45) esta semana; sem Y nao existe preco defensavel.</t>
        </is>
      </c>
      <c r="G33" s="17" t="inlineStr">
        <is>
          <t>high</t>
        </is>
      </c>
    </row>
    <row r="34">
      <c r="A34" s="17" t="inlineStr">
        <is>
          <t>GA-f110881b03</t>
        </is>
      </c>
      <c r="B34" s="17" t="inlineStr">
        <is>
          <t>strategic_analysis</t>
        </is>
      </c>
      <c r="C34" s="17" t="inlineStr">
        <is>
          <t>ECO-05</t>
        </is>
      </c>
      <c r="D34" s="17" t="inlineStr">
        <is>
          <t>SA-06B/unit_economics</t>
        </is>
      </c>
      <c r="E34" s="18" t="inlineStr">
        <is>
          <t>Nao existe custo de producao do e-book nem do curso: nenhuma hora, diaria, ferramenta ou terceirizacao esta precificada.</t>
        </is>
      </c>
      <c r="F34" s="18" t="inlineStr">
        <is>
          <t>Estimar custo em horas proprias por e-book usando a capacidade de 6h/dia ja declarada; sem isso a margem e apenas margem de canal.</t>
        </is>
      </c>
      <c r="G34" s="17" t="inlineStr">
        <is>
          <t>medium</t>
        </is>
      </c>
    </row>
    <row r="35">
      <c r="A35" s="17" t="inlineStr">
        <is>
          <t>GA-50c351cdfc</t>
        </is>
      </c>
      <c r="B35" s="17" t="inlineStr">
        <is>
          <t>strategic_analysis</t>
        </is>
      </c>
      <c r="C35" s="17" t="inlineStr">
        <is>
          <t>ECO-06</t>
        </is>
      </c>
      <c r="D35" s="17" t="inlineStr">
        <is>
          <t>SA-06B/unit_economics</t>
        </is>
      </c>
      <c r="E35" s="18" t="inlineStr">
        <is>
          <t>Nao ha preco, condicao ou modelo de receita definido para os livros digitais: o item consta como pendencia aberta.</t>
        </is>
      </c>
      <c r="F35" s="18" t="inlineStr">
        <is>
          <t>Aplicar a faixa ja decidida em DOC-C05-001 (R$ 39,90 lancamento) aos tres titulos e registrar a decisao na propria nota de oferta.</t>
        </is>
      </c>
      <c r="G35" s="17" t="inlineStr">
        <is>
          <t>high</t>
        </is>
      </c>
    </row>
    <row r="36">
      <c r="A36" s="17" t="inlineStr">
        <is>
          <t>GA-a552f55d56</t>
        </is>
      </c>
      <c r="B36" s="17" t="inlineStr">
        <is>
          <t>strategic_analysis</t>
        </is>
      </c>
      <c r="C36" s="17" t="inlineStr">
        <is>
          <t>ECO-08</t>
        </is>
      </c>
      <c r="D36" s="17" t="inlineStr">
        <is>
          <t>SA-06B/unit_economics</t>
        </is>
      </c>
      <c r="E36" s="18" t="inlineStr">
        <is>
          <t>A receita de afiliados nao pode ser projetada: existe a comissao (10%) e o preco medio dos livros nao esta registrado, nem trafego ou taxa de clique.</t>
        </is>
      </c>
      <c r="F36" s="18" t="inlineStr">
        <is>
          <t>Nao incluir receita de afiliados em nenhuma projecao de lancamento; usa-la apenas como sinal de engajamento editorial.</t>
        </is>
      </c>
      <c r="G36" s="17" t="inlineStr">
        <is>
          <t>low</t>
        </is>
      </c>
    </row>
    <row r="37">
      <c r="A37" s="17" t="inlineStr">
        <is>
          <t>GA-7c614a4dc7</t>
        </is>
      </c>
      <c r="B37" s="17" t="inlineStr">
        <is>
          <t>strategic_analysis</t>
        </is>
      </c>
      <c r="C37" s="17" t="inlineStr">
        <is>
          <t>ECO-04</t>
        </is>
      </c>
      <c r="D37" s="17" t="inlineStr">
        <is>
          <t>SA-07A/value_chain</t>
        </is>
      </c>
      <c r="E37" s="18" t="inlineStr">
        <is>
          <t>A cadeia fisica declarada vai de compra para revenda a CMV, mas nenhum elo operacional (fornecedor, importacao, armazenagem, expedicao) tem responsavel ou processo.</t>
        </is>
      </c>
      <c r="F37" s="18" t="inlineStr">
        <is>
          <t>Mapear os elos de suprimento e expedicao como tarefas com dono antes de aceitar o primeiro pedido pago.</t>
        </is>
      </c>
      <c r="G37" s="17" t="inlineStr">
        <is>
          <t>high</t>
        </is>
      </c>
    </row>
    <row r="38">
      <c r="A38" s="17" t="inlineStr">
        <is>
          <t>GA-0bebad9dc9</t>
        </is>
      </c>
      <c r="B38" s="17" t="inlineStr">
        <is>
          <t>strategic_analysis</t>
        </is>
      </c>
      <c r="C38" s="17" t="inlineStr">
        <is>
          <t>ECO-04</t>
        </is>
      </c>
      <c r="D38" s="17" t="inlineStr">
        <is>
          <t>SA-07B/capabilities</t>
        </is>
      </c>
      <c r="E38" s="18" t="inlineStr">
        <is>
          <t>Nenhuma capacidade de suprimento, importacao, estoque ou logistica reversa aparece declarada no acervo, embora a linha dependa dela.</t>
        </is>
      </c>
      <c r="F38" s="18" t="inlineStr">
        <is>
          <t>Ou adquirir a capacidade (parceiro de fulfillment) ou manter a linha fisica em lista de interesse ate depois do lancamento.</t>
        </is>
      </c>
      <c r="G38" s="17" t="inlineStr">
        <is>
          <t>high</t>
        </is>
      </c>
    </row>
    <row r="39">
      <c r="A39" s="17" t="inlineStr">
        <is>
          <t>GA-a07bc7aba4</t>
        </is>
      </c>
      <c r="B39" s="17" t="inlineStr">
        <is>
          <t>strategic_analysis</t>
        </is>
      </c>
      <c r="C39" s="17" t="inlineStr">
        <is>
          <t>ECO-05</t>
        </is>
      </c>
      <c r="D39" s="17" t="inlineStr">
        <is>
          <t>SA-08B/customer</t>
        </is>
      </c>
      <c r="E39" s="18" t="inlineStr">
        <is>
          <t>Do lado do cliente, o acervo tem estrutura de produto detalhada e nenhuma evidencia de demanda validada para infoprodutos.</t>
        </is>
      </c>
      <c r="F39" s="18" t="inlineStr">
        <is>
          <t>Fazer do 07/09 o teste de Gate 1 para a linha digital, com meta de numero de compras e nao de numero de publicacoes.</t>
        </is>
      </c>
      <c r="G39" s="17" t="inlineStr">
        <is>
          <t>high</t>
        </is>
      </c>
    </row>
    <row r="40">
      <c r="A40" s="17" t="inlineStr">
        <is>
          <t>GA-fddbed2470</t>
        </is>
      </c>
      <c r="B40" s="17" t="inlineStr">
        <is>
          <t>strategic_analysis</t>
        </is>
      </c>
      <c r="C40" s="17" t="inlineStr">
        <is>
          <t>ECO-04</t>
        </is>
      </c>
      <c r="D40" s="17" t="inlineStr">
        <is>
          <t>SA-10B/ability_to_win</t>
        </is>
      </c>
      <c r="E40" s="18" t="inlineStr">
        <is>
          <t>A capacidade de vencer na linha fisica e hoje indeterminavel porque a competencia central exigida (suprimento e logistica) nao foi avaliada em nenhum documento.</t>
        </is>
      </c>
      <c r="F40" s="18" t="inlineStr">
        <is>
          <t>Fazer uma avaliacao honesta de capacidade logistica antes de prometer compra; a alternativa e print-on-demand ou parceiro.</t>
        </is>
      </c>
      <c r="G40" s="17" t="inlineStr">
        <is>
          <t>high</t>
        </is>
      </c>
    </row>
    <row r="41">
      <c r="A41" s="17" t="inlineStr">
        <is>
          <t>GA-d03d8e3237</t>
        </is>
      </c>
      <c r="B41" s="17" t="inlineStr">
        <is>
          <t>strategic_analysis</t>
        </is>
      </c>
      <c r="C41" s="17" t="inlineStr">
        <is>
          <t>ECO-06</t>
        </is>
      </c>
      <c r="D41" s="17" t="inlineStr">
        <is>
          <t>SA-12/requirements</t>
        </is>
      </c>
      <c r="E41" s="18" t="inlineStr">
        <is>
          <t>Nao existe nenhum requisito de produto escrito para o livro autoral de Risco Cognitivo: nem formato, nem extensao, nem publico, nem canal.</t>
        </is>
      </c>
      <c r="F41" s="18" t="inlineStr">
        <is>
          <t>Manter o livro como marcador de roadmap sem especificacao ate o white paper existir; especificar antes seria preencher lacuna por plausibilidade.</t>
        </is>
      </c>
      <c r="G41" s="17" t="inlineStr">
        <is>
          <t>low</t>
        </is>
      </c>
    </row>
    <row r="42">
      <c r="A42" s="17" t="inlineStr">
        <is>
          <t>GA-708711520c</t>
        </is>
      </c>
      <c r="B42" s="17" t="inlineStr">
        <is>
          <t>strategic_analysis</t>
        </is>
      </c>
      <c r="C42" s="17" t="inlineStr">
        <is>
          <t>ECO-06</t>
        </is>
      </c>
      <c r="D42" s="17" t="inlineStr">
        <is>
          <t>SA-04D/voice_of_customer</t>
        </is>
      </c>
      <c r="E42" s="18" t="inlineStr">
        <is>
          <t>Nao ha nenhuma evidencia de leitor, resenha, teste de capa ou pesquisa de titulo para os livros digitais.</t>
        </is>
      </c>
      <c r="F42" s="18" t="inlineStr">
        <is>
          <t>Testar os tres titulos com a lista antes de imprimir a capa final; e o teste mais barato disponivel.</t>
        </is>
      </c>
      <c r="G42" s="17" t="inlineStr">
        <is>
          <t>medium</t>
        </is>
      </c>
    </row>
    <row r="43">
      <c r="A43" s="17" t="inlineStr">
        <is>
          <t>GA-7cc0609281</t>
        </is>
      </c>
      <c r="B43" s="17" t="inlineStr">
        <is>
          <t>strategic_analysis</t>
        </is>
      </c>
      <c r="C43" s="17" t="inlineStr">
        <is>
          <t>ECO-05</t>
        </is>
      </c>
      <c r="D43" s="17" t="inlineStr">
        <is>
          <t>SA-04A/segmentation</t>
        </is>
      </c>
      <c r="E43" s="18" t="inlineStr">
        <is>
          <t>Nao ha segmentacao de compradores do curso: a unica divisao declarada e por fase pedagogica (4E), que e estrutura de conteudo e nao de mercado.</t>
        </is>
      </c>
      <c r="F43" s="18" t="inlineStr">
        <is>
          <t>Usar a lista de interesse do lancamento para gerar os primeiros segmentos observados em vez de arbitrar segmentos agora.</t>
        </is>
      </c>
      <c r="G43" s="17" t="inlineStr">
        <is>
          <t>medium</t>
        </is>
      </c>
    </row>
    <row r="44">
      <c r="A44" s="17" t="inlineStr">
        <is>
          <t>GA-c26f917a77</t>
        </is>
      </c>
      <c r="B44" s="17" t="inlineStr">
        <is>
          <t>strategic_analysis</t>
        </is>
      </c>
      <c r="C44" s="17" t="inlineStr">
        <is>
          <t>ECO-06</t>
        </is>
      </c>
      <c r="D44" s="17" t="inlineStr">
        <is>
          <t>SA-04B/icp</t>
        </is>
      </c>
      <c r="E44" s="18" t="inlineStr">
        <is>
          <t>Nao existe ICP dos livros digitais: os tres titulos sao descritos por papel editorial, nao por leitor.</t>
        </is>
      </c>
      <c r="F44" s="18" t="inlineStr">
        <is>
          <t>Atribuir um leitor nomeado a cada titulo antes da capa final; sem isso os tres titulos competem entre si na mesma vitrine.</t>
        </is>
      </c>
      <c r="G44" s="17" t="inlineStr">
        <is>
          <t>high</t>
        </is>
      </c>
    </row>
    <row r="45">
      <c r="A45" s="17" t="inlineStr">
        <is>
          <t>GA-ba2a1b6e08</t>
        </is>
      </c>
      <c r="B45" s="17" t="inlineStr">
        <is>
          <t>strategic_analysis</t>
        </is>
      </c>
      <c r="C45" s="17" t="inlineStr">
        <is>
          <t>ECO-08</t>
        </is>
      </c>
      <c r="D45" s="17" t="inlineStr">
        <is>
          <t>SA-10A/market_attractiveness</t>
        </is>
      </c>
      <c r="E45" s="18" t="inlineStr">
        <is>
          <t>Nao ha dados de atratividade do mercado de conteudo: nem custo por seguidor, nem alcance de referencia, nem benchmark de canal.</t>
        </is>
      </c>
      <c r="F45" s="18" t="inlineStr">
        <is>
          <t>Registrar a linha de base de cada canal antes de 07/09 para que a campanha produza um benchmark proprio.</t>
        </is>
      </c>
      <c r="G45" s="17" t="inlineStr">
        <is>
          <t>medium</t>
        </is>
      </c>
    </row>
    <row r="46">
      <c r="A46" s="17" t="inlineStr">
        <is>
          <t>GA-9f29a13043</t>
        </is>
      </c>
      <c r="B46" s="17" t="inlineStr">
        <is>
          <t>formulario</t>
        </is>
      </c>
      <c r="C46" s="17" t="inlineStr">
        <is>
          <t>ECO-01 (candidato VALUE_EVENT-01) e ECO-02 (meta de output)</t>
        </is>
      </c>
      <c r="D46" s="17" t="inlineStr">
        <is>
          <t>1.5 Métrica North Star</t>
        </is>
      </c>
      <c r="E46" s="18" t="inlineStr">
        <is>
          <t>Falta a eleição formal de UMA métrica North Star com definição, fórmula, janela de medição e meta. O artefato estaria num documento de métricas/analytics ou num ADR de produto — inexistente no corpus.</t>
        </is>
      </c>
      <c r="F46" s="18" t="inlineStr">
        <is>
          <t>Eleger “VALUE_EVENT-01 concluídos por usuário ativo por semana” como NSM candidata e fixar baseline após o piloto de ≥40 usuários previsto em PMF-01.</t>
        </is>
      </c>
      <c r="G46" s="17" t="n"/>
    </row>
    <row r="47">
      <c r="A47" s="17" t="inlineStr">
        <is>
          <t>GA-8f65223004</t>
        </is>
      </c>
      <c r="B47" s="17" t="inlineStr">
        <is>
          <t>formulario</t>
        </is>
      </c>
      <c r="C47" s="17" t="inlineStr">
        <is>
          <t>ECO-01</t>
        </is>
      </c>
      <c r="D47" s="17" t="inlineStr">
        <is>
          <t>1.7 CAC (custo de aquisição)</t>
        </is>
      </c>
      <c r="E47" s="18" t="inlineStr">
        <is>
          <t>Falta o CAC real. Não há, em nenhum dos 214 arquivos, campanha paga executada, cliente pagante registrado ou tabela de gasto por canal. O dado nasceria dos eventos acquisition_source, campaign_id e paid_at do warehouse de telemetria — já especificados, ainda não instrumentados.</t>
        </is>
      </c>
      <c r="F47" s="18" t="inlineStr">
        <is>
          <t>Não preencher com número. Instrumentar acquisition_source/campaign_id/paid_at antes da primeira campanha paga e só então calcular CAC observado.</t>
        </is>
      </c>
      <c r="G47" s="17" t="n"/>
    </row>
    <row r="48">
      <c r="A48" s="17" t="inlineStr">
        <is>
          <t>GA-a97b042d7b</t>
        </is>
      </c>
      <c r="B48" s="17" t="inlineStr">
        <is>
          <t>formulario</t>
        </is>
      </c>
      <c r="C48" s="17" t="inlineStr">
        <is>
          <t>ECO-01</t>
        </is>
      </c>
      <c r="D48" s="17" t="inlineStr">
        <is>
          <t>1.8 LTV (valor do tempo de vida)</t>
        </is>
      </c>
      <c r="E48" s="18" t="inlineStr">
        <is>
          <t>Falta LTV factual: não há coorte real, churn observado nem pagamento registrado. O dado nasceria das janelas LTV_30/60/90/180/365 do warehouse de telemetria, especificadas mas não populadas.</t>
        </is>
      </c>
      <c r="F48" s="18" t="inlineStr">
        <is>
          <t>Não preencher com número. Rodar as coortes LTV_30/60/90 após o primeiro piloto pagante e substituir o modelo.</t>
        </is>
      </c>
      <c r="G48" s="17" t="n"/>
    </row>
    <row r="49">
      <c r="A49" s="17" t="inlineStr">
        <is>
          <t>GA-eca06fdd26</t>
        </is>
      </c>
      <c r="B49" s="17" t="inlineStr">
        <is>
          <t>formulario</t>
        </is>
      </c>
      <c r="C49" s="18" t="inlineStr">
        <is>
          <t>TRANSVERSAL — ECO-01 (premissa 85%), ECO-05 (taxa de canal), ECO-04 (landed cost incompleto)</t>
        </is>
      </c>
      <c r="D49" s="17" t="inlineStr">
        <is>
          <t>1.9 Margem por unidade/usuário</t>
        </is>
      </c>
      <c r="E49" s="18" t="inlineStr">
        <is>
          <t>Faltam os custos posto (landed cost) reais dos SKUs físicos — as linhas estão literalmente marcadas “preencher” — e falta a margem observada por usuário do app (custo de infraestrutura + variable_ai_cost por usuário ativo). Estaria numa planilha de custo de produto e num relatório de custo por usuário.</t>
        </is>
      </c>
      <c r="F49" s="18" t="inlineStr">
        <is>
          <t>Cotar frete, impostos e embalagem dos quatro SKUs para fechar o Y do Timer 45 antes de publicar preço na loja.</t>
        </is>
      </c>
      <c r="G49" s="17" t="n"/>
    </row>
    <row r="50">
      <c r="A50" s="17" t="inlineStr">
        <is>
          <t>GA-aa672d37ec</t>
        </is>
      </c>
      <c r="B50" s="17" t="inlineStr">
        <is>
          <t>formulario</t>
        </is>
      </c>
      <c r="C50" s="17" t="inlineStr">
        <is>
          <t>TRANSVERSAL</t>
        </is>
      </c>
      <c r="D50" s="17" t="inlineStr">
        <is>
          <t>1.10 Ponto de equilíbrio (breakeven)</t>
        </is>
      </c>
      <c r="E50" s="18" t="inlineStr">
        <is>
          <t>Falta qualquer cálculo de ponto de equilíbrio: não há custo fixo mensal declarado (infraestrutura, ferramentas, Hotmart, domínios), não há meta de assinantes pagantes e não há receita atual registrada. O dado estaria numa planilha de custos fixos + modelo de receita, ou num P&amp;L simplificado — inexistentes no corpus.</t>
        </is>
      </c>
      <c r="F50" s="18" t="inlineStr">
        <is>
          <t>Levantar o custo fixo mensal real (Vercel, Neon, Clerk, Sentry, domínios, Hotmart) e dividi-lo pela margem de contribuição por assinante para obter o número mínimo de assinantes; não estimar antes desse levantamento.</t>
        </is>
      </c>
      <c r="G50" s="17" t="n"/>
    </row>
    <row r="51">
      <c r="A51" s="17" t="inlineStr">
        <is>
          <t>GA-b096c134b6</t>
        </is>
      </c>
      <c r="B51" s="17" t="inlineStr">
        <is>
          <t>formulario</t>
        </is>
      </c>
      <c r="C51" s="17" t="inlineStr">
        <is>
          <t>ECO-01 (e ECO-02, site/CMS)</t>
        </is>
      </c>
      <c r="D51" s="17" t="inlineStr">
        <is>
          <t>1.11 Teto de gasto de infraestrutura</t>
        </is>
      </c>
      <c r="E51" s="18" t="inlineStr">
        <is>
          <t>Falta o teto de gasto: nenhum documento traz fatura, plano contratado (Hobby/Pro), limite de billing ou alerta de custo de qualquer fornecedor. O dado estaria nos consoles/faturas de Vercel, Neon, Clerk e Sentry, ou num documento de orçamento de infraestrutura.</t>
        </is>
      </c>
      <c r="F51" s="18" t="inlineStr">
        <is>
          <t>Exportar o custo mensal atual de cada fornecedor e definir um teto explícito com alerta de billing antes do lançamento de 07/09.</t>
        </is>
      </c>
      <c r="G51" s="17" t="n"/>
    </row>
    <row r="52">
      <c r="A52" s="17" t="inlineStr">
        <is>
          <t>GA-d72c6e9cf2</t>
        </is>
      </c>
      <c r="B52" s="17" t="inlineStr">
        <is>
          <t>formulario</t>
        </is>
      </c>
      <c r="C52" s="17" t="inlineStr">
        <is>
          <t>ECO-01</t>
        </is>
      </c>
      <c r="D52" s="17" t="inlineStr">
        <is>
          <t>1.12 Gatilhos de upgrade de infra</t>
        </is>
      </c>
      <c r="E52" s="18" t="inlineStr">
        <is>
          <t>Falta o gatilho: não existe métrica-limiar (usuários ativos, requisições, GB de banco, custo mensal, p95 de latência) associada a uma ação de upgrade. O dado estaria num runbook de capacidade/escalabilidade ou num ADR de infraestrutura.</t>
        </is>
      </c>
      <c r="F52" s="18" t="inlineStr">
        <is>
          <t>Definir dois ou três limiares objetivos (custo mensal, conexões de banco, p95) que disparem a migração de local-first para persistência remota/Aurora, e registrá-los como ADR.</t>
        </is>
      </c>
      <c r="G52" s="17" t="n"/>
    </row>
    <row r="53">
      <c r="A53" s="17" t="inlineStr">
        <is>
          <t>GA-9f0e787f95</t>
        </is>
      </c>
      <c r="B53" s="17" t="inlineStr">
        <is>
          <t>formulario</t>
        </is>
      </c>
      <c r="C53" s="17" t="inlineStr">
        <is>
          <t>TRANSVERSAL</t>
        </is>
      </c>
      <c r="D53" s="17" t="inlineStr">
        <is>
          <t>1.15 Cadência financeira recorrente</t>
        </is>
      </c>
      <c r="E53" s="18" t="inlineStr">
        <is>
          <t>Falta a rotina financeira recorrente: quem fecha, com que periodicidade, contra qual orçamento e em qual artefato. O dado estaria num P&amp;L/planilha financeira mensal ou num runbook de fechamento — inexistentes no corpus.</t>
        </is>
      </c>
      <c r="F53" s="18" t="inlineStr">
        <is>
          <t>Instituir um fechamento mensal simples (receita por canal, custo fixo, custo variável de IA/infra, margem) assim que houver a primeira venda; hoje não há receita registrada que justifique análise de variância.</t>
        </is>
      </c>
      <c r="G53" s="17" t="n"/>
    </row>
    <row r="54">
      <c r="A54" s="17" t="inlineStr">
        <is>
          <t>GA-16ffcff2eb</t>
        </is>
      </c>
      <c r="B54" s="17" t="inlineStr">
        <is>
          <t>formulario</t>
        </is>
      </c>
      <c r="C54" s="18" t="inlineStr">
        <is>
          <t>ECO-07 (pipeline definido); forecast ausente em todas as unidades</t>
        </is>
      </c>
      <c r="D54" s="17" t="inlineStr">
        <is>
          <t>1.16 Pipeline e forecast de vendas</t>
        </is>
      </c>
      <c r="E54" s="18" t="inlineStr">
        <is>
          <t>Falta o forecast: não há número esperado de leads, taxa de conversão por estágio, ticket médio projetado nem receita prevista por mês. E não há pipeline algum para ECO-01 (assinaturas) nem ECO-05 (infoprodutos). O dado estaria num CRM ou planilha de forecast — inexistentes no corpus.</t>
        </is>
      </c>
      <c r="F54" s="18" t="inlineStr">
        <is>
          <t>Instrumentar o FORM-001 para contar leads por estágio a partir de 07/09 e só então projetar conversão, dado que a capacidade está travada em 1 cliente por semana.</t>
        </is>
      </c>
      <c r="G54" s="17" t="n"/>
    </row>
    <row r="55">
      <c r="A55" s="17" t="inlineStr">
        <is>
          <t>GA-914204c25f</t>
        </is>
      </c>
      <c r="B55" s="17" t="inlineStr">
        <is>
          <t>formulario</t>
        </is>
      </c>
      <c r="C55" s="17" t="inlineStr">
        <is>
          <t>ECO-01</t>
        </is>
      </c>
      <c r="D55" s="17" t="inlineStr">
        <is>
          <t>2.2 Contexto do PRD</t>
        </is>
      </c>
      <c r="E55" s="18" t="inlineStr">
        <is>
          <t>Falta o PRD propriamente dito. Os documentos citam PRD-006 e um FRD do Scanner que não estão entre os 214 arquivos — provavelmente vivem no repositório Sas-Executar/Sas-Executar ou no Drive, não no conjunto entregue.</t>
        </is>
      </c>
      <c r="F55" s="18" t="inlineStr">
        <is>
          <t>Localizar PRD-006 e o FRD do Scanner no repositório/Drive e incorporá-los ao registro documental, ou declará-los inexistentes e escrever o PRD a partir de DATA-ADHD-PM-001.</t>
        </is>
      </c>
      <c r="G55" s="17" t="n"/>
    </row>
    <row r="56">
      <c r="A56" s="17" t="inlineStr">
        <is>
          <t>GA-0faf54c756</t>
        </is>
      </c>
      <c r="B56" s="17" t="inlineStr">
        <is>
          <t>formulario</t>
        </is>
      </c>
      <c r="C56" s="17" t="inlineStr">
        <is>
          <t>ECO-01 (com persona própria em ECO-07)</t>
        </is>
      </c>
      <c r="D56" s="17" t="inlineStr">
        <is>
          <t>2.7 Persona principal</t>
        </is>
      </c>
      <c r="E56" s="18" t="inlineStr">
        <is>
          <t>Falta a persona formalizada, e falta resolver o conflito de ICP (faixa etária 25–35 × 25–44, gênero, papel do diagnóstico). O artefato estaria num documento de pesquisa de usuário/persona — inexistente; e a própria decisão ICP-01 tem status DECIDED_FOR_TEST, isto é, hipótese a validar em recrutamento.</t>
        </is>
      </c>
      <c r="F56" s="18" t="inlineStr">
        <is>
          <t>Resolver o conflito de ICP e escrever uma persona única derivada da versão vencedora; ICP-01 já prevê “recrutar ICP comportamental e medir ativação, recorrência, pagamento e retenção”.</t>
        </is>
      </c>
      <c r="G56" s="17" t="n"/>
    </row>
    <row r="57">
      <c r="A57" s="17" t="inlineStr">
        <is>
          <t>GA-c020bad937</t>
        </is>
      </c>
      <c r="B57" s="17" t="inlineStr">
        <is>
          <t>formulario</t>
        </is>
      </c>
      <c r="C57" s="18" t="inlineStr">
        <is>
          <t>ECO-02 e ECO-07 documentadas; ECO-01 sem jornada de descoberta própria</t>
        </is>
      </c>
      <c r="D57" s="17" t="inlineStr">
        <is>
          <t>2.8 Jornada — Descoberta</t>
        </is>
      </c>
      <c r="E57" s="18" t="inlineStr">
        <is>
          <t>Falta a jornada de descoberta específica do app: como um usuário chega ao EXECUTAR (loja de apps, landing, indicação) não está documentado. Os eventos acquisition_source e campaign_id existem como especificação de telemetria, sem mapa de jornada correspondente.</t>
        </is>
      </c>
      <c r="F57" s="18" t="inlineStr">
        <is>
          <t>Desenhar a jornada de descoberta do ECO-01 ligando os CTAs CH-001/CH-002 aos eventos acquisition_source e install_or_signup.</t>
        </is>
      </c>
      <c r="G57" s="17" t="n"/>
    </row>
    <row r="58">
      <c r="A58" s="17" t="inlineStr">
        <is>
          <t>GA-5a7dbdfa59</t>
        </is>
      </c>
      <c r="B58" s="17" t="inlineStr">
        <is>
          <t>formulario</t>
        </is>
      </c>
      <c r="C58" s="17" t="inlineStr">
        <is>
          <t>ECO-01 (com recorrência contratual própria em ECO-07)</t>
        </is>
      </c>
      <c r="D58" s="17" t="inlineStr">
        <is>
          <t>2.10 Jornada — Uso recorrente</t>
        </is>
      </c>
      <c r="E58" s="18" t="inlineStr">
        <is>
          <t>Falta qualquer dado de retenção observada: nenhuma coorte medida, nenhuma frequência real de uso, e o próprio churn de 10/15/20% é premissa. O dado nasceria das coortes W1/W2/W4/W8 do warehouse, ainda não populadas.</t>
        </is>
      </c>
      <c r="F58" s="18" t="inlineStr">
        <is>
          <t>Medir a frequência real de uso no piloto para confirmar ou falsear a hipótese de 1–2 vezes por semana, que hoje sustenta a promessa central do produto.</t>
        </is>
      </c>
      <c r="G58" s="17" t="n"/>
    </row>
    <row r="59">
      <c r="A59" s="17" t="inlineStr">
        <is>
          <t>GA-6e6020606d</t>
        </is>
      </c>
      <c r="B59" s="17" t="inlineStr">
        <is>
          <t>formulario</t>
        </is>
      </c>
      <c r="C59" s="17" t="inlineStr">
        <is>
          <t>ECO-01</t>
        </is>
      </c>
      <c r="D59" s="17" t="inlineStr">
        <is>
          <t>2.11 Momento 'aha'</t>
        </is>
      </c>
      <c r="E59" s="18" t="inlineStr">
        <is>
          <t>Falta nomear e medir o momento aha: não há definição de qual etapa exata do VALUE_EVENT-01 produz o reconhecimento de valor, nem tempo-alvo para alcançá-lo — o endpoint time_to_next_action existe, mas sem meta.</t>
        </is>
      </c>
      <c r="F59" s="18" t="inlineStr">
        <is>
          <t>Adotar “primeira próxima ação válida executada em menos de X minutos” como definição operacional do momento aha e fixar X após observar time_to_next_action no piloto.</t>
        </is>
      </c>
      <c r="G59" s="17" t="n"/>
    </row>
    <row r="60">
      <c r="A60" s="17" t="inlineStr">
        <is>
          <t>GA-f487eb5226</t>
        </is>
      </c>
      <c r="B60" s="17" t="inlineStr">
        <is>
          <t>formulario</t>
        </is>
      </c>
      <c r="C60" s="17" t="inlineStr">
        <is>
          <t>ECO-01</t>
        </is>
      </c>
      <c r="D60" s="17" t="inlineStr">
        <is>
          <t>2.12 User story de referência</t>
        </is>
      </c>
      <c r="E60" s="18" t="inlineStr">
        <is>
          <t>Falta a user story formal com critérios de aceite acoplados. O artefato estaria num backlog ou PRD — inexistentes no corpus.</t>
        </is>
      </c>
      <c r="F60" s="18" t="inlineStr">
        <is>
          <t>Converter a perspectiva dos “primeiros 30 minutos” em user story formal, com critérios de aceite ligados a retomada de contexto, próxima ação e DoD verificável.</t>
        </is>
      </c>
      <c r="G60" s="17" t="n"/>
    </row>
    <row r="61">
      <c r="A61" s="17" t="inlineStr">
        <is>
          <t>GA-7759f94c14</t>
        </is>
      </c>
      <c r="B61" s="17" t="inlineStr">
        <is>
          <t>formulario</t>
        </is>
      </c>
      <c r="C61" s="17" t="n"/>
      <c r="D61" s="17" t="inlineStr">
        <is>
          <t>8.1 Problema/oportunidade que justifica o projeto</t>
        </is>
      </c>
      <c r="E61" s="18" t="inlineStr">
        <is>
          <t>O próprio §03-T1 registra que a justificativa ainda precisa ser consolidada formalmente como problema central + oportunidade de mercado em documento único.</t>
        </is>
      </c>
      <c r="F61" s="18" t="inlineStr">
        <is>
          <t>Consolidar 8.1 em declaração formal de problema/oportunidade no Project Charter (PC-01).</t>
        </is>
      </c>
      <c r="G61" s="17" t="n"/>
    </row>
    <row r="62">
      <c r="A62" s="17" t="inlineStr">
        <is>
          <t>GA-00dc1c832c</t>
        </is>
      </c>
      <c r="B62" s="17" t="inlineStr">
        <is>
          <t>formulario</t>
        </is>
      </c>
      <c r="C62" s="17" t="n"/>
      <c r="D62" s="17" t="inlineStr">
        <is>
          <t>8.3 Critério de sucesso principal</t>
        </is>
      </c>
      <c r="E62" s="18" t="inlineStr">
        <is>
          <t>Falta meta numérica e prazo: quantos clientes, qual receita, até quando. O campo exige indicador objetivo com meta e prazo.</t>
        </is>
      </c>
      <c r="F62" s="18" t="inlineStr">
        <is>
          <t>Definir meta quantitativa de clientes/receita de consultoria e a data-alvo, ancorada no roadmap set/2026–jan/2027.</t>
        </is>
      </c>
      <c r="G62" s="17" t="n"/>
    </row>
    <row r="63">
      <c r="A63" s="17" t="inlineStr">
        <is>
          <t>GA-163c820d95</t>
        </is>
      </c>
      <c r="B63" s="17" t="inlineStr">
        <is>
          <t>formulario</t>
        </is>
      </c>
      <c r="C63" s="17" t="n"/>
      <c r="D63" s="17" t="inlineStr">
        <is>
          <t>8.4 Decisão Go/No-Go</t>
        </is>
      </c>
      <c r="E63" s="18" t="inlineStr">
        <is>
          <t>Não existem critérios objetivos definidos para continuar, corrigir, suspender ou despriorizar cada linha do ecossistema.</t>
        </is>
      </c>
      <c r="F63" s="18" t="inlineStr">
        <is>
          <t>Definir critérios Go/No-Go por linha (app, blog, infoprodutos, físicos, consultoria, livro), ancorados no Gate de Revisão de 24/10/2026.</t>
        </is>
      </c>
      <c r="G63" s="17" t="n"/>
    </row>
    <row r="64">
      <c r="A64" s="17" t="inlineStr">
        <is>
          <t>GA-cc6f2aa507</t>
        </is>
      </c>
      <c r="B64" s="17" t="inlineStr">
        <is>
          <t>formulario</t>
        </is>
      </c>
      <c r="C64" s="17" t="n"/>
      <c r="D64" s="17" t="inlineStr">
        <is>
          <t>8.5 Abordagem do projeto</t>
        </is>
      </c>
      <c r="E64" s="18" t="inlineStr">
        <is>
          <t>Abordagem preditiva, ágil ou híbrida ainda não escolhida nem documentada.</t>
        </is>
      </c>
      <c r="F64" s="18" t="inlineStr">
        <is>
          <t>Selecionar e documentar a abordagem (o PMBOK 8 contempla preditiva, adaptativa e híbrida — PDF Fundamentos §3.6), coerente com operação solo e baixo overhead administrativo.</t>
        </is>
      </c>
      <c r="G64" s="17" t="n"/>
    </row>
    <row r="65">
      <c r="A65" s="17" t="inlineStr">
        <is>
          <t>GA-6dc50a2fd3</t>
        </is>
      </c>
      <c r="B65" s="17" t="inlineStr">
        <is>
          <t>formulario</t>
        </is>
      </c>
      <c r="C65" s="17" t="n"/>
      <c r="D65" s="17" t="inlineStr">
        <is>
          <t>8.6 Relato de status</t>
        </is>
      </c>
      <c r="E65" s="18" t="inlineStr">
        <is>
          <t>Não há padrão Verde/Amarelo/Vermelho com critérios objetivos de prazo, risco, bloqueio e resultado.</t>
        </is>
      </c>
      <c r="F65" s="18" t="inlineStr">
        <is>
          <t>Formalizar regras do semáforo de status e a cadência de emissão do relato.</t>
        </is>
      </c>
      <c r="G65" s="17" t="n"/>
    </row>
    <row r="66">
      <c r="A66" s="17" t="inlineStr">
        <is>
          <t>GA-2b64062156</t>
        </is>
      </c>
      <c r="B66" s="17" t="inlineStr">
        <is>
          <t>formulario</t>
        </is>
      </c>
      <c r="C66" s="17" t="n"/>
      <c r="D66" s="17" t="inlineStr">
        <is>
          <t>9.4 Dependência entre horizontes</t>
        </is>
      </c>
      <c r="E66" s="18" t="inlineStr">
        <is>
          <t>CONFLITO REGISTRADO: a linha 9.4 do §03-T1 marca "TBD — deve ser formalizada a cadeia de dependências", mas o mesmo bloco §05 já enumera cinco dependências materiais. Falta a formalização com predecessores, sucessores, bloqueios e gates explícitos.</t>
        </is>
      </c>
      <c r="F66" s="18" t="inlineStr">
        <is>
          <t>Formalizar o grafo de dependências entre horizontes com gates verificáveis (resolve também MASTER-04).</t>
        </is>
      </c>
      <c r="G66" s="17" t="n"/>
    </row>
    <row r="67">
      <c r="A67" s="17" t="inlineStr">
        <is>
          <t>GA-5ad3a57385</t>
        </is>
      </c>
      <c r="B67" s="17" t="inlineStr">
        <is>
          <t>formulario</t>
        </is>
      </c>
      <c r="C67" s="17" t="n"/>
      <c r="D67" s="17" t="inlineStr">
        <is>
          <t>10.1 Marco de médio prazo #1</t>
        </is>
      </c>
      <c r="E67" s="18" t="inlineStr">
        <is>
          <t>CONFLITO REGISTRADO: 10.1 está marcado TBD, mas o §05-Cronograma traz marcos datados (blog 07/09/2026; app beta 14/09/2026; serviços 21/09/2026; infoprodutos e físicos 28/09/2026; curso 19/10/2026; Gate de Revisão 24/10/2026; manuscrito 12/12/2026; livro 10/01/2027). Falta eleger qual deles é o marco de médio prazo #1 verificável.</t>
        </is>
      </c>
      <c r="F67" s="18" t="inlineStr">
        <is>
          <t>Eleger o marco de médio prazo #1 — candidato mais forte: Gate de Revisão de 24/10/2026, único ponto do roadmap que já é definido como decisão baseada em dados acumulados.</t>
        </is>
      </c>
      <c r="G67" s="17" t="n"/>
    </row>
    <row r="68">
      <c r="A68" s="17" t="inlineStr">
        <is>
          <t>GA-4f36b20a12</t>
        </is>
      </c>
      <c r="B68" s="17" t="inlineStr">
        <is>
          <t>formulario</t>
        </is>
      </c>
      <c r="C68" s="17" t="n"/>
      <c r="D68" s="17" t="inlineStr">
        <is>
          <t>10.3 Item de backlog crítico</t>
        </is>
      </c>
      <c r="E68" s="18" t="inlineStr">
        <is>
          <t>Não foi identificado o único item cuja não execução bloqueia o próximo marco. Candidato derivável de 9.3: o lançamento do blog em 07/09/2026 (predecessor declarado do app beta).</t>
        </is>
      </c>
      <c r="F68" s="18" t="inlineStr">
        <is>
          <t>Confirmar com o owner o item de backlog crítico único e amarrá-lo ao marco de 10.1.</t>
        </is>
      </c>
      <c r="G68" s="17" t="n"/>
    </row>
    <row r="69">
      <c r="A69" s="17" t="inlineStr">
        <is>
          <t>GA-80b8062fef</t>
        </is>
      </c>
      <c r="B69" s="17" t="inlineStr">
        <is>
          <t>formulario</t>
        </is>
      </c>
      <c r="C69" s="17" t="n"/>
      <c r="D69" s="17" t="inlineStr">
        <is>
          <t>10.5 Planejamento de sprint</t>
        </is>
      </c>
      <c r="E69" s="18" t="inlineStr">
        <is>
          <t>Não existe mecanismo para selecionar trabalho por prioridade, dependência e capacidade real. Restrição conhecida (9.5): operação solo exige regra simples e limite de WIP.</t>
        </is>
      </c>
      <c r="F69" s="18" t="inlineStr">
        <is>
          <t>Criar regra mínima de planejamento que limite compromissos do ciclo à capacidade real disponível.</t>
        </is>
      </c>
      <c r="G69" s="17" t="n"/>
    </row>
  </sheetData>
  <autoFilter ref="A1:G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2026-08-31T17:06:16Z</dcterms:created>
  <dcterms:modified xsi:type="dcterms:W3CDTF">2026-08-31T17:06:17Z</dcterms:modified>
</cp:coreProperties>
</file>